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weij\Downloads\"/>
    </mc:Choice>
  </mc:AlternateContent>
  <xr:revisionPtr revIDLastSave="0" documentId="13_ncr:1_{F3E77198-4576-4A4F-9BFB-5B4234DDEDC3}" xr6:coauthVersionLast="47" xr6:coauthVersionMax="47" xr10:uidLastSave="{00000000-0000-0000-0000-000000000000}"/>
  <bookViews>
    <workbookView xWindow="-108" yWindow="-108" windowWidth="23256" windowHeight="12456" firstSheet="1" activeTab="2" xr2:uid="{8629901B-DDDA-43BD-B677-78D5F07D0ABD}"/>
  </bookViews>
  <sheets>
    <sheet name="List" sheetId="2" state="hidden" r:id="rId1"/>
    <sheet name="Main" sheetId="4" r:id="rId2"/>
    <sheet name="Process1" sheetId="1" r:id="rId3"/>
  </sheets>
  <definedNames>
    <definedName name="_xleta.IF" hidden="1" xlm="1">#NAME?</definedName>
    <definedName name="_xleta.ROW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D5" i="1" s="1"/>
  <c r="E5" i="1" s="1"/>
  <c r="F5" i="1" s="1"/>
  <c r="G5" i="1" s="1"/>
  <c r="H5" i="1" s="1"/>
  <c r="I5" i="1" s="1"/>
  <c r="J5" i="1" s="1"/>
  <c r="F29" i="1"/>
  <c r="F31" i="1" s="1"/>
  <c r="F33" i="1" s="1"/>
  <c r="G29" i="1"/>
  <c r="G31" i="1" s="1"/>
  <c r="G33" i="1" s="1"/>
  <c r="H29" i="1"/>
  <c r="H31" i="1" s="1"/>
  <c r="H33" i="1" s="1"/>
  <c r="I29" i="1"/>
  <c r="I31" i="1" s="1"/>
  <c r="I33" i="1" s="1"/>
  <c r="J29" i="1"/>
  <c r="J31" i="1" s="1"/>
  <c r="J33" i="1" s="1"/>
  <c r="I38" i="1" l="1"/>
  <c r="J38" i="1"/>
  <c r="I39" i="1"/>
  <c r="J39" i="1"/>
  <c r="C52" i="1" a="1"/>
  <c r="C52" i="1" s="1"/>
  <c r="C54" i="1" a="1"/>
  <c r="C54" i="1" s="1"/>
  <c r="E54" i="1" s="1"/>
  <c r="C55" i="1" l="1" a="1"/>
  <c r="C55" i="1" s="1"/>
  <c r="E55" i="1" s="1"/>
  <c r="C53" i="1" a="1"/>
  <c r="C53" i="1" s="1"/>
  <c r="E53" i="1" s="1"/>
  <c r="E52" i="1"/>
  <c r="I9" i="1"/>
  <c r="J9" i="1"/>
  <c r="F28" i="1"/>
  <c r="F30" i="1" s="1"/>
  <c r="G28" i="1"/>
  <c r="G30" i="1" s="1"/>
  <c r="H28" i="1"/>
  <c r="H30" i="1" s="1"/>
  <c r="I28" i="1"/>
  <c r="I30" i="1" s="1"/>
  <c r="J28" i="1"/>
  <c r="J30" i="1" s="1"/>
  <c r="F38" i="1" l="1"/>
  <c r="G38" i="1"/>
  <c r="H38" i="1"/>
  <c r="F39" i="1"/>
  <c r="G39" i="1"/>
  <c r="H39" i="1"/>
  <c r="C46" i="1" a="1"/>
  <c r="C46" i="1" s="1"/>
  <c r="C48" i="1" a="1"/>
  <c r="C48" i="1" s="1"/>
  <c r="C50" i="1" a="1"/>
  <c r="C50" i="1" s="1"/>
  <c r="C51" i="1" l="1" a="1"/>
  <c r="C51" i="1" s="1"/>
  <c r="E51" i="1" s="1"/>
  <c r="E50" i="1"/>
  <c r="F9" i="1"/>
  <c r="C47" i="1" a="1"/>
  <c r="C47" i="1" s="1"/>
  <c r="E47" i="1" s="1"/>
  <c r="E46" i="1"/>
  <c r="H9" i="1"/>
  <c r="G9" i="1"/>
  <c r="E48" i="1"/>
  <c r="C49" i="1" a="1"/>
  <c r="C49" i="1" s="1"/>
  <c r="E49" i="1" s="1"/>
  <c r="E29" i="1"/>
  <c r="E31" i="1" s="1"/>
  <c r="E33" i="1" s="1"/>
  <c r="E28" i="1" l="1"/>
  <c r="E30" i="1" s="1"/>
  <c r="C44" i="1" l="1" a="1"/>
  <c r="C44" i="1" s="1"/>
  <c r="E44" i="1" s="1"/>
  <c r="E39" i="1"/>
  <c r="C45" i="1" l="1" a="1"/>
  <c r="C45" i="1" s="1"/>
  <c r="E45" i="1" s="1"/>
  <c r="E38" i="1" l="1"/>
  <c r="E9" i="1" s="1"/>
  <c r="D28" i="1"/>
  <c r="D30" i="1" s="1"/>
  <c r="C29" i="1"/>
  <c r="C31" i="1" s="1"/>
  <c r="C33" i="1" s="1"/>
  <c r="D29" i="1"/>
  <c r="D31" i="1" s="1"/>
  <c r="D33" i="1" s="1"/>
  <c r="C24" i="1" l="1"/>
  <c r="C28" i="1"/>
  <c r="C30" i="1" s="1"/>
  <c r="C32" i="1" l="1"/>
  <c r="C35" i="1" s="1"/>
  <c r="C38" i="1" s="1"/>
  <c r="E37" i="1" s="1"/>
  <c r="E32" i="1"/>
  <c r="E35" i="1" s="1"/>
  <c r="I32" i="1"/>
  <c r="I35" i="1" s="1"/>
  <c r="G32" i="1"/>
  <c r="G35" i="1" s="1"/>
  <c r="F32" i="1"/>
  <c r="F35" i="1" s="1"/>
  <c r="H32" i="1"/>
  <c r="H35" i="1" s="1"/>
  <c r="D32" i="1"/>
  <c r="D35" i="1" s="1"/>
  <c r="D38" i="1" s="1"/>
  <c r="C42" i="1" s="1" a="1"/>
  <c r="C42" i="1" s="1"/>
  <c r="E42" i="1" s="1"/>
  <c r="J32" i="1"/>
  <c r="J35" i="1" s="1"/>
  <c r="D39" i="1" l="1"/>
  <c r="D9" i="1" s="1"/>
  <c r="C40" i="1" a="1"/>
  <c r="C40" i="1" s="1"/>
  <c r="C39" i="1"/>
  <c r="C9" i="1" s="1"/>
  <c r="H37" i="1"/>
  <c r="I37" i="1"/>
  <c r="C25" i="1"/>
  <c r="E36" i="1" s="1"/>
  <c r="F37" i="1"/>
  <c r="D37" i="1"/>
  <c r="J37" i="1"/>
  <c r="C37" i="1"/>
  <c r="G37" i="1"/>
  <c r="C43" i="1" l="1" a="1"/>
  <c r="C43" i="1" s="1"/>
  <c r="E43" i="1" s="1"/>
  <c r="C41" i="1" a="1"/>
  <c r="C41" i="1" s="1"/>
  <c r="E41" i="1" s="1"/>
  <c r="E40" i="1"/>
  <c r="F36" i="1"/>
  <c r="G36" i="1"/>
  <c r="J36" i="1"/>
  <c r="D36" i="1"/>
  <c r="H36" i="1"/>
  <c r="I36" i="1"/>
  <c r="C36" i="1"/>
  <c r="C5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<sst xmlns="http://schemas.openxmlformats.org/spreadsheetml/2006/main" count="42" uniqueCount="41">
  <si>
    <t>Select</t>
  </si>
  <si>
    <t>Number of flows</t>
  </si>
  <si>
    <t>Number of processes</t>
  </si>
  <si>
    <t>Process ID</t>
  </si>
  <si>
    <t>Flow</t>
  </si>
  <si>
    <t>Questions</t>
  </si>
  <si>
    <t>At least</t>
  </si>
  <si>
    <t>At most</t>
  </si>
  <si>
    <t>LowerSliderValue</t>
  </si>
  <si>
    <t>UpperSliderValue</t>
  </si>
  <si>
    <t>LowerRankOrder</t>
  </si>
  <si>
    <t>UpperRankOrder</t>
  </si>
  <si>
    <t>LowerTimeStamp</t>
  </si>
  <si>
    <t>UpperTimeStamp</t>
  </si>
  <si>
    <t>LowerSumPrev</t>
  </si>
  <si>
    <t>UpperRem</t>
  </si>
  <si>
    <t>MinLower</t>
  </si>
  <si>
    <t>MaxLower</t>
  </si>
  <si>
    <t>MinUpper</t>
  </si>
  <si>
    <t>MaxUpper</t>
  </si>
  <si>
    <t>Lower</t>
  </si>
  <si>
    <t>Upper</t>
  </si>
  <si>
    <t>UpperBoundsLeft</t>
  </si>
  <si>
    <t>PrevUp+OtherLow</t>
  </si>
  <si>
    <t>AxisLimit</t>
  </si>
  <si>
    <t>LabelLower1</t>
  </si>
  <si>
    <t>LabelUpper1</t>
  </si>
  <si>
    <t>LabelLower2</t>
  </si>
  <si>
    <t>LabelLower3</t>
  </si>
  <si>
    <t>LabelUpper3</t>
  </si>
  <si>
    <t>LabelLower4</t>
  </si>
  <si>
    <t>LabelUpper4</t>
  </si>
  <si>
    <t>LabelLower5</t>
  </si>
  <si>
    <t>LabelUpper5</t>
  </si>
  <si>
    <t>LabelLower6</t>
  </si>
  <si>
    <t>LabelUpper6</t>
  </si>
  <si>
    <t>LabelLower7</t>
  </si>
  <si>
    <t>LabelUpper7</t>
  </si>
  <si>
    <t>LabelLower8</t>
  </si>
  <si>
    <t>LabelUpper8</t>
  </si>
  <si>
    <t>FullPercentage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</si>
</sst>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9" borderId="5" xfId="0" applyFill="1" applyBorder="1" applyAlignment="1">
      <alignment vertical="center"/>
    </xf>
    <xf numFmtId="0" fontId="2" fillId="9" borderId="6" xfId="0" applyFont="1" applyFill="1" applyBorder="1" applyAlignment="1">
      <alignment horizontal="right" vertical="center"/>
    </xf>
    <xf numFmtId="0" fontId="0" fillId="9" borderId="6" xfId="0" applyFill="1" applyBorder="1" applyAlignment="1">
      <alignment horizontal="center" vertical="center"/>
    </xf>
    <xf numFmtId="0" fontId="0" fillId="9" borderId="6" xfId="0" applyFill="1" applyBorder="1" applyAlignment="1">
      <alignment vertical="center"/>
    </xf>
    <xf numFmtId="0" fontId="0" fillId="9" borderId="7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2" fillId="9" borderId="0" xfId="0" applyFont="1" applyFill="1" applyAlignment="1">
      <alignment horizontal="righ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9" borderId="9" xfId="0" applyFill="1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9" xfId="0" applyFill="1" applyBorder="1" applyAlignment="1">
      <alignment vertical="center" wrapText="1"/>
    </xf>
    <xf numFmtId="0" fontId="0" fillId="9" borderId="9" xfId="0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2" fillId="9" borderId="11" xfId="0" applyFont="1" applyFill="1" applyBorder="1" applyAlignment="1">
      <alignment horizontal="right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0" fontId="0" fillId="11" borderId="5" xfId="0" applyFill="1" applyBorder="1" applyAlignment="1">
      <alignment vertical="center"/>
    </xf>
    <xf numFmtId="0" fontId="2" fillId="11" borderId="6" xfId="0" applyFont="1" applyFill="1" applyBorder="1" applyAlignment="1">
      <alignment horizontal="right" vertical="center"/>
    </xf>
    <xf numFmtId="0" fontId="0" fillId="11" borderId="6" xfId="0" applyFill="1" applyBorder="1" applyAlignment="1">
      <alignment horizontal="center" vertical="center"/>
    </xf>
    <xf numFmtId="0" fontId="0" fillId="11" borderId="6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8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vertical="center"/>
    </xf>
    <xf numFmtId="0" fontId="0" fillId="11" borderId="9" xfId="0" applyFill="1" applyBorder="1" applyAlignment="1">
      <alignment vertical="center"/>
    </xf>
    <xf numFmtId="9" fontId="0" fillId="9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9" fontId="0" fillId="9" borderId="0" xfId="1" applyFont="1" applyFill="1" applyBorder="1" applyAlignment="1">
      <alignment horizontal="center" vertical="center"/>
    </xf>
    <xf numFmtId="0" fontId="0" fillId="11" borderId="10" xfId="0" applyFill="1" applyBorder="1" applyAlignment="1">
      <alignment vertical="center"/>
    </xf>
    <xf numFmtId="0" fontId="2" fillId="11" borderId="11" xfId="0" applyFont="1" applyFill="1" applyBorder="1" applyAlignment="1">
      <alignment horizontal="right" vertical="center"/>
    </xf>
    <xf numFmtId="0" fontId="0" fillId="11" borderId="11" xfId="0" applyFill="1" applyBorder="1" applyAlignment="1">
      <alignment horizontal="center" vertical="center"/>
    </xf>
    <xf numFmtId="0" fontId="0" fillId="11" borderId="11" xfId="0" applyFill="1" applyBorder="1" applyAlignment="1">
      <alignment vertical="center"/>
    </xf>
    <xf numFmtId="0" fontId="0" fillId="11" borderId="12" xfId="0" applyFill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9" fontId="0" fillId="9" borderId="4" xfId="1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64" fontId="0" fillId="9" borderId="15" xfId="0" applyNumberFormat="1" applyFill="1" applyBorder="1" applyAlignment="1">
      <alignment horizontal="center" vertical="center"/>
    </xf>
    <xf numFmtId="9" fontId="0" fillId="9" borderId="15" xfId="1" applyFont="1" applyFill="1" applyBorder="1" applyAlignment="1">
      <alignment horizontal="center" vertical="center"/>
    </xf>
    <xf numFmtId="9" fontId="0" fillId="9" borderId="15" xfId="0" applyNumberFormat="1" applyFill="1" applyBorder="1" applyAlignment="1">
      <alignment horizontal="center" vertical="center"/>
    </xf>
    <xf numFmtId="9" fontId="0" fillId="9" borderId="16" xfId="1" applyFont="1" applyFill="1" applyBorder="1" applyAlignment="1">
      <alignment horizontal="center" vertical="center"/>
    </xf>
    <xf numFmtId="9" fontId="0" fillId="9" borderId="2" xfId="1" applyFont="1" applyFill="1" applyBorder="1" applyAlignment="1">
      <alignment horizontal="center" vertical="center"/>
    </xf>
    <xf numFmtId="9" fontId="0" fillId="9" borderId="3" xfId="0" applyNumberFormat="1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0" borderId="0" xfId="0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0" borderId="0" xfId="0" applyFill="1" applyAlignment="1">
      <alignment horizontal="center"/>
    </xf>
    <xf numFmtId="0" fontId="2" fillId="11" borderId="0" xfId="0" applyFont="1" applyFill="1" applyAlignment="1">
      <alignment horizontal="right"/>
    </xf>
  </cellXfs>
  <cellStyles count="2">
    <cellStyle name="Normal" xfId="0" builtinId="0"/>
    <cellStyle name="Percent" xfId="1" builtinId="5"/>
  </cellStyles>
  <dxfs count="1"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DDFFFF"/>
      <color rgb="FFEEEEEE"/>
      <color rgb="FFD5D5FF"/>
      <color rgb="FFFFDEBD"/>
      <color rgb="FFFFFFD9"/>
      <color rgb="FFFFD1FF"/>
      <color rgb="FFDDDDFF"/>
      <color rgb="FFFFB9FF"/>
      <color rgb="FFB9FFFF"/>
      <color rgb="FFE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78008124894728E-2"/>
          <c:y val="5.0902879346694158E-2"/>
          <c:w val="0.90827112877797833"/>
          <c:h val="0.5870220613151963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BC6A9D02-1D58-4A6A-8DB3-086EE02FA3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33DB-4C2A-88E1-E23F2138FC9D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Process1!$E$40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0-33DB-4C2A-88E1-E23F2138FC9D}"/>
            </c:ext>
          </c:extLst>
        </c:ser>
        <c:ser>
          <c:idx val="1"/>
          <c:order val="1"/>
          <c:spPr>
            <a:solidFill>
              <a:schemeClr val="accent1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4.7852456352274168E-18"/>
                  <c:y val="0.50364030638478252"/>
                </c:manualLayout>
              </c:layout>
              <c:tx>
                <c:rich>
                  <a:bodyPr/>
                  <a:lstStyle/>
                  <a:p>
                    <a:fld id="{98A88320-043C-419E-8C00-27352CE725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2-33DB-4C2A-88E1-E23F2138FC9D}"/>
                </c:ext>
              </c:extLst>
            </c:dLbl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Process1!$E$41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F-33DB-4C2A-88E1-E23F2138FC9D}"/>
            </c:ext>
          </c:extLst>
        </c:ser>
        <c:ser>
          <c:idx val="2"/>
          <c:order val="2"/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5655999435781791E-18"/>
                  <c:y val="0.40942792875929601"/>
                </c:manualLayout>
              </c:layout>
              <c:tx>
                <c:rich>
                  <a:bodyPr/>
                  <a:lstStyle/>
                  <a:p>
                    <a:fld id="{5CD4873B-6428-4884-88D9-598F2A3234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33DB-4C2A-88E1-E23F2138FC9D}"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Process1!$E$42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0-33DB-4C2A-88E1-E23F2138FC9D}"/>
            </c:ext>
          </c:extLst>
        </c:ser>
        <c:ser>
          <c:idx val="3"/>
          <c:order val="3"/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1.9123506616525235E-17"/>
                  <c:y val="0.5189788551030976"/>
                </c:manualLayout>
              </c:layout>
              <c:tx>
                <c:rich>
                  <a:bodyPr/>
                  <a:lstStyle/>
                  <a:p>
                    <a:fld id="{74111992-14DA-48FD-9AF2-F383E3FE5D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33DB-4C2A-88E1-E23F2138FC9D}"/>
                </c:ext>
              </c:extLst>
            </c:dLbl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Process1!$E$43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1-33DB-4C2A-88E1-E23F2138FC9D}"/>
            </c:ext>
          </c:extLst>
        </c:ser>
        <c:ser>
          <c:idx val="4"/>
          <c:order val="4"/>
          <c:spPr>
            <a:solidFill>
              <a:schemeClr val="accent3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B774D76C-4E33-45C9-B8EC-E02BF74781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33DB-4C2A-88E1-E23F2138FC9D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2-33DB-4C2A-88E1-E23F2138FC9D}"/>
            </c:ext>
          </c:extLst>
        </c:ser>
        <c:ser>
          <c:idx val="5"/>
          <c:order val="5"/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51508595236459376"/>
                </c:manualLayout>
              </c:layout>
              <c:tx>
                <c:rich>
                  <a:bodyPr/>
                  <a:lstStyle/>
                  <a:p>
                    <a:fld id="{0B34DC34-E974-414F-AFFF-FD935CA07F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33DB-4C2A-88E1-E23F2138FC9D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3-33DB-4C2A-88E1-E23F2138FC9D}"/>
            </c:ext>
          </c:extLst>
        </c:ser>
        <c:ser>
          <c:idx val="6"/>
          <c:order val="6"/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FFBF672E-3D96-4EC5-BD3D-610CBDC55F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33DB-4C2A-88E1-E23F2138FC9D}"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Process1!$E$46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4-33DB-4C2A-88E1-E23F2138FC9D}"/>
            </c:ext>
          </c:extLst>
        </c:ser>
        <c:ser>
          <c:idx val="7"/>
          <c:order val="7"/>
          <c:spPr>
            <a:solidFill>
              <a:schemeClr val="accent4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7.649402646610094E-17"/>
                  <c:y val="0.51897885510309738"/>
                </c:manualLayout>
              </c:layout>
              <c:tx>
                <c:rich>
                  <a:bodyPr/>
                  <a:lstStyle/>
                  <a:p>
                    <a:fld id="{0E12EA12-514D-469C-9549-B5F1B498DB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33DB-4C2A-88E1-E23F2138FC9D}"/>
                </c:ext>
              </c:extLst>
            </c:dLbl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Process1!$E$47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5-33DB-4C2A-88E1-E23F2138FC9D}"/>
            </c:ext>
          </c:extLst>
        </c:ser>
        <c:ser>
          <c:idx val="8"/>
          <c:order val="8"/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8372A934-CAD8-438F-92C5-AD618E0227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33DB-4C2A-88E1-E23F2138FC9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Process1!$C$48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Process1!$E$48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6-33DB-4C2A-88E1-E23F2138FC9D}"/>
            </c:ext>
          </c:extLst>
        </c:ser>
        <c:ser>
          <c:idx val="9"/>
          <c:order val="9"/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52468191944488962"/>
                </c:manualLayout>
              </c:layout>
              <c:tx>
                <c:rich>
                  <a:bodyPr/>
                  <a:lstStyle/>
                  <a:p>
                    <a:fld id="{F23746E6-EFCF-4604-A478-A1D6338ABB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33DB-4C2A-88E1-E23F2138FC9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Process1!$C$49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Process1!$E$49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7-33DB-4C2A-88E1-E23F2138FC9D}"/>
            </c:ext>
          </c:extLst>
        </c:ser>
        <c:ser>
          <c:idx val="10"/>
          <c:order val="10"/>
          <c:spPr>
            <a:solidFill>
              <a:schemeClr val="accent6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88806268-28BD-4073-AADF-BF5027EDCF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33DB-4C2A-88E1-E23F2138FC9D}"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Process1!$C$50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Process1!$E$50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8-33DB-4C2A-88E1-E23F2138FC9D}"/>
            </c:ext>
          </c:extLst>
        </c:ser>
        <c:ser>
          <c:idx val="11"/>
          <c:order val="11"/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7.649402646610094E-17"/>
                  <c:y val="0.51897885510309738"/>
                </c:manualLayout>
              </c:layout>
              <c:tx>
                <c:rich>
                  <a:bodyPr/>
                  <a:lstStyle/>
                  <a:p>
                    <a:fld id="{CF8656CC-82D5-4AC7-B3CC-D043F7B6E4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33DB-4C2A-88E1-E23F2138FC9D}"/>
                </c:ext>
              </c:extLst>
            </c:dLbl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Process1!$C$51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Process1!$E$51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9-33DB-4C2A-88E1-E23F2138FC9D}"/>
            </c:ext>
          </c:extLst>
        </c:ser>
        <c:ser>
          <c:idx val="12"/>
          <c:order val="12"/>
          <c:spPr>
            <a:solidFill>
              <a:schemeClr val="tx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3.824701323305047E-17"/>
                  <c:y val="0.41062063260904419"/>
                </c:manualLayout>
              </c:layout>
              <c:tx>
                <c:rich>
                  <a:bodyPr/>
                  <a:lstStyle/>
                  <a:p>
                    <a:fld id="{ACD3977D-FE10-4B45-AA4A-E6190202DB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B-33DB-4C2A-88E1-E23F2138FC9D}"/>
                </c:ext>
              </c:extLst>
            </c:dLbl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Process1!$E$52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A-33DB-4C2A-88E1-E23F2138FC9D}"/>
            </c:ext>
          </c:extLst>
        </c:ser>
        <c:ser>
          <c:idx val="13"/>
          <c:order val="13"/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51897885510309738"/>
                </c:manualLayout>
              </c:layout>
              <c:tx>
                <c:rich>
                  <a:bodyPr/>
                  <a:lstStyle/>
                  <a:p>
                    <a:fld id="{2340BF53-FABD-474B-B6E4-1763BDE32E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33DB-4C2A-88E1-E23F2138FC9D}"/>
                </c:ext>
              </c:extLst>
            </c:dLbl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Process1!$C$53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Process1!$E$53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33DB-4C2A-88E1-E23F2138FC9D}"/>
            </c:ext>
          </c:extLst>
        </c:ser>
        <c:ser>
          <c:idx val="14"/>
          <c:order val="14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41062063260904419"/>
                </c:manualLayout>
              </c:layout>
              <c:tx>
                <c:rich>
                  <a:bodyPr/>
                  <a:lstStyle/>
                  <a:p>
                    <a:fld id="{D9CEFD0E-D7B1-4AF1-9C55-5EBE53618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33DB-4C2A-88E1-E23F2138FC9D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C-33DB-4C2A-88E1-E23F2138FC9D}"/>
            </c:ext>
          </c:extLst>
        </c:ser>
        <c:ser>
          <c:idx val="15"/>
          <c:order val="15"/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0.51897885510309738"/>
                </c:manualLayout>
              </c:layout>
              <c:tx>
                <c:rich>
                  <a:bodyPr/>
                  <a:lstStyle/>
                  <a:p>
                    <a:fld id="{51B96512-4856-4A88-9FBA-6FBE3CE309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33DB-4C2A-88E1-E23F2138FC9D}"/>
                </c:ext>
              </c:extLst>
            </c:dLbl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Process1!$C$55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Process1!$E$55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D-33DB-4C2A-88E1-E23F2138FC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70750799"/>
        <c:axId val="170738319"/>
      </c:barChart>
      <c:catAx>
        <c:axId val="1707507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0738319"/>
        <c:crosses val="autoZero"/>
        <c:auto val="1"/>
        <c:lblAlgn val="ctr"/>
        <c:lblOffset val="100"/>
        <c:noMultiLvlLbl val="0"/>
      </c:catAx>
      <c:valAx>
        <c:axId val="170738319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high"/>
        <c:spPr>
          <a:noFill/>
          <a:ln>
            <a:solidFill>
              <a:sysClr val="windowText" lastClr="000000"/>
            </a:solidFill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0799"/>
        <c:crosses val="autoZero"/>
        <c:crossBetween val="between"/>
        <c:majorUnit val="1"/>
        <c:minorUnit val="5.000000000000001E-2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7620</xdr:rowOff>
        </xdr:from>
        <xdr:to>
          <xdr:col>3</xdr:col>
          <xdr:colOff>0</xdr:colOff>
          <xdr:row>7</xdr:row>
          <xdr:rowOff>7620</xdr:rowOff>
        </xdr:to>
        <xdr:sp macro="" textlink="">
          <xdr:nvSpPr>
            <xdr:cNvPr id="1029" name="ScrollBar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30" name="ScrollBar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6</xdr:row>
          <xdr:rowOff>7620</xdr:rowOff>
        </xdr:from>
        <xdr:to>
          <xdr:col>4</xdr:col>
          <xdr:colOff>7620</xdr:colOff>
          <xdr:row>7</xdr:row>
          <xdr:rowOff>7620</xdr:rowOff>
        </xdr:to>
        <xdr:sp macro="" textlink="">
          <xdr:nvSpPr>
            <xdr:cNvPr id="1031" name="ScrollBar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7</xdr:row>
          <xdr:rowOff>0</xdr:rowOff>
        </xdr:from>
        <xdr:to>
          <xdr:col>4</xdr:col>
          <xdr:colOff>7620</xdr:colOff>
          <xdr:row>8</xdr:row>
          <xdr:rowOff>0</xdr:rowOff>
        </xdr:to>
        <xdr:sp macro="" textlink="">
          <xdr:nvSpPr>
            <xdr:cNvPr id="1032" name="ScrollBar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6</xdr:row>
          <xdr:rowOff>7620</xdr:rowOff>
        </xdr:from>
        <xdr:to>
          <xdr:col>5</xdr:col>
          <xdr:colOff>22860</xdr:colOff>
          <xdr:row>7</xdr:row>
          <xdr:rowOff>7620</xdr:rowOff>
        </xdr:to>
        <xdr:sp macro="" textlink="">
          <xdr:nvSpPr>
            <xdr:cNvPr id="1033" name="ScrollBar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7</xdr:row>
          <xdr:rowOff>0</xdr:rowOff>
        </xdr:from>
        <xdr:to>
          <xdr:col>5</xdr:col>
          <xdr:colOff>22860</xdr:colOff>
          <xdr:row>8</xdr:row>
          <xdr:rowOff>0</xdr:rowOff>
        </xdr:to>
        <xdr:sp macro="" textlink="">
          <xdr:nvSpPr>
            <xdr:cNvPr id="1034" name="ScrollBar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6</xdr:row>
          <xdr:rowOff>7620</xdr:rowOff>
        </xdr:from>
        <xdr:to>
          <xdr:col>6</xdr:col>
          <xdr:colOff>7620</xdr:colOff>
          <xdr:row>7</xdr:row>
          <xdr:rowOff>7620</xdr:rowOff>
        </xdr:to>
        <xdr:sp macro="" textlink="">
          <xdr:nvSpPr>
            <xdr:cNvPr id="1035" name="ScrollBar7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7</xdr:row>
          <xdr:rowOff>0</xdr:rowOff>
        </xdr:from>
        <xdr:to>
          <xdr:col>6</xdr:col>
          <xdr:colOff>7620</xdr:colOff>
          <xdr:row>8</xdr:row>
          <xdr:rowOff>0</xdr:rowOff>
        </xdr:to>
        <xdr:sp macro="" textlink="">
          <xdr:nvSpPr>
            <xdr:cNvPr id="1036" name="ScrollBar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6</xdr:row>
          <xdr:rowOff>7620</xdr:rowOff>
        </xdr:from>
        <xdr:to>
          <xdr:col>7</xdr:col>
          <xdr:colOff>7620</xdr:colOff>
          <xdr:row>7</xdr:row>
          <xdr:rowOff>7620</xdr:rowOff>
        </xdr:to>
        <xdr:sp macro="" textlink="">
          <xdr:nvSpPr>
            <xdr:cNvPr id="1037" name="ScrollBar9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7</xdr:row>
          <xdr:rowOff>0</xdr:rowOff>
        </xdr:from>
        <xdr:to>
          <xdr:col>7</xdr:col>
          <xdr:colOff>7620</xdr:colOff>
          <xdr:row>8</xdr:row>
          <xdr:rowOff>0</xdr:rowOff>
        </xdr:to>
        <xdr:sp macro="" textlink="">
          <xdr:nvSpPr>
            <xdr:cNvPr id="1038" name="ScrollBar1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7620</xdr:rowOff>
        </xdr:from>
        <xdr:to>
          <xdr:col>8</xdr:col>
          <xdr:colOff>22860</xdr:colOff>
          <xdr:row>7</xdr:row>
          <xdr:rowOff>7620</xdr:rowOff>
        </xdr:to>
        <xdr:sp macro="" textlink="">
          <xdr:nvSpPr>
            <xdr:cNvPr id="1039" name="ScrollBar1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7</xdr:row>
          <xdr:rowOff>0</xdr:rowOff>
        </xdr:from>
        <xdr:to>
          <xdr:col>8</xdr:col>
          <xdr:colOff>22860</xdr:colOff>
          <xdr:row>8</xdr:row>
          <xdr:rowOff>0</xdr:rowOff>
        </xdr:to>
        <xdr:sp macro="" textlink="">
          <xdr:nvSpPr>
            <xdr:cNvPr id="1040" name="ScrollBar1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6</xdr:row>
          <xdr:rowOff>7620</xdr:rowOff>
        </xdr:from>
        <xdr:to>
          <xdr:col>9</xdr:col>
          <xdr:colOff>7620</xdr:colOff>
          <xdr:row>7</xdr:row>
          <xdr:rowOff>7620</xdr:rowOff>
        </xdr:to>
        <xdr:sp macro="" textlink="">
          <xdr:nvSpPr>
            <xdr:cNvPr id="1041" name="ScrollBar1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7</xdr:row>
          <xdr:rowOff>0</xdr:rowOff>
        </xdr:from>
        <xdr:to>
          <xdr:col>9</xdr:col>
          <xdr:colOff>7620</xdr:colOff>
          <xdr:row>8</xdr:row>
          <xdr:rowOff>0</xdr:rowOff>
        </xdr:to>
        <xdr:sp macro="" textlink="">
          <xdr:nvSpPr>
            <xdr:cNvPr id="1042" name="ScrollBar14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6</xdr:row>
          <xdr:rowOff>7620</xdr:rowOff>
        </xdr:from>
        <xdr:to>
          <xdr:col>10</xdr:col>
          <xdr:colOff>7620</xdr:colOff>
          <xdr:row>7</xdr:row>
          <xdr:rowOff>7620</xdr:rowOff>
        </xdr:to>
        <xdr:sp macro="" textlink="">
          <xdr:nvSpPr>
            <xdr:cNvPr id="1044" name="ScrollBar1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7</xdr:row>
          <xdr:rowOff>0</xdr:rowOff>
        </xdr:from>
        <xdr:to>
          <xdr:col>10</xdr:col>
          <xdr:colOff>7620</xdr:colOff>
          <xdr:row>8</xdr:row>
          <xdr:rowOff>0</xdr:rowOff>
        </xdr:to>
        <xdr:sp macro="" textlink="">
          <xdr:nvSpPr>
            <xdr:cNvPr id="1045" name="ScrollBar1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502920</xdr:colOff>
          <xdr:row>6</xdr:row>
          <xdr:rowOff>0</xdr:rowOff>
        </xdr:from>
        <xdr:to>
          <xdr:col>11</xdr:col>
          <xdr:colOff>944880</xdr:colOff>
          <xdr:row>8</xdr:row>
          <xdr:rowOff>0</xdr:rowOff>
        </xdr:to>
        <xdr:sp macro="" textlink="">
          <xdr:nvSpPr>
            <xdr:cNvPr id="1054" name="CommandButton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502920</xdr:colOff>
          <xdr:row>7</xdr:row>
          <xdr:rowOff>45720</xdr:rowOff>
        </xdr:from>
        <xdr:to>
          <xdr:col>11</xdr:col>
          <xdr:colOff>937260</xdr:colOff>
          <xdr:row>9</xdr:row>
          <xdr:rowOff>45720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2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601436</xdr:colOff>
      <xdr:row>9</xdr:row>
      <xdr:rowOff>104348</xdr:rowOff>
    </xdr:from>
    <xdr:to>
      <xdr:col>10</xdr:col>
      <xdr:colOff>553812</xdr:colOff>
      <xdr:row>21</xdr:row>
      <xdr:rowOff>45221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7D9255F4-409E-AA79-9026-D3E319B75E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ActiveX">
      <a:dk1>
        <a:sysClr val="windowText" lastClr="000000"/>
      </a:dk1>
      <a:lt1>
        <a:sysClr val="window" lastClr="FFFFFF"/>
      </a:lt1>
      <a:dk2>
        <a:srgbClr val="8080FF"/>
      </a:dk2>
      <a:lt2>
        <a:srgbClr val="E0E0E0"/>
      </a:lt2>
      <a:accent1>
        <a:srgbClr val="FF8080"/>
      </a:accent1>
      <a:accent2>
        <a:srgbClr val="7FFF7F"/>
      </a:accent2>
      <a:accent3>
        <a:srgbClr val="80FFFF"/>
      </a:accent3>
      <a:accent4>
        <a:srgbClr val="FF80FF"/>
      </a:accent4>
      <a:accent5>
        <a:srgbClr val="FFFF80"/>
      </a:accent5>
      <a:accent6>
        <a:srgbClr val="FFC080"/>
      </a:accent6>
      <a:hlink>
        <a:srgbClr val="8080FF"/>
      </a:hlink>
      <a:folHlink>
        <a:srgbClr val="E0E0E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18" Type="http://schemas.openxmlformats.org/officeDocument/2006/relationships/control" Target="../activeX/activeX10.xml"/><Relationship Id="rId26" Type="http://schemas.openxmlformats.org/officeDocument/2006/relationships/image" Target="../media/image9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6.emf"/><Relationship Id="rId25" Type="http://schemas.openxmlformats.org/officeDocument/2006/relationships/control" Target="../activeX/activeX15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9.xml"/><Relationship Id="rId20" Type="http://schemas.openxmlformats.org/officeDocument/2006/relationships/image" Target="../media/image7.emf"/><Relationship Id="rId29" Type="http://schemas.openxmlformats.org/officeDocument/2006/relationships/image" Target="../media/image10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8.xml"/><Relationship Id="rId23" Type="http://schemas.openxmlformats.org/officeDocument/2006/relationships/image" Target="../media/image8.emf"/><Relationship Id="rId28" Type="http://schemas.openxmlformats.org/officeDocument/2006/relationships/control" Target="../activeX/activeX17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1.xml"/><Relationship Id="rId31" Type="http://schemas.openxmlformats.org/officeDocument/2006/relationships/image" Target="../media/image11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control" Target="../activeX/activeX13.xml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4ADA0-E164-4864-BCB7-B34300F974A7}">
  <sheetPr codeName="Sheet2"/>
  <dimension ref="A1:B80"/>
  <sheetViews>
    <sheetView topLeftCell="A30" workbookViewId="0">
      <selection activeCell="B6" sqref="B6:B80"/>
    </sheetView>
  </sheetViews>
  <sheetFormatPr defaultRowHeight="14.4" x14ac:dyDescent="0.3"/>
  <cols>
    <col min="1" max="1" width="9.109375" style="1" customWidth="1"/>
  </cols>
  <sheetData>
    <row r="1" spans="1:2" x14ac:dyDescent="0.3">
      <c r="A1" s="1" t="s">
        <v>0</v>
      </c>
      <c r="B1">
        <v>1</v>
      </c>
    </row>
    <row r="2" spans="1:2" x14ac:dyDescent="0.3">
      <c r="A2" s="1">
        <v>2</v>
      </c>
      <c r="B2">
        <v>2</v>
      </c>
    </row>
    <row r="3" spans="1:2" x14ac:dyDescent="0.3">
      <c r="A3" s="1">
        <v>3</v>
      </c>
      <c r="B3">
        <v>3</v>
      </c>
    </row>
    <row r="4" spans="1:2" x14ac:dyDescent="0.3">
      <c r="A4" s="1">
        <v>4</v>
      </c>
      <c r="B4">
        <v>4</v>
      </c>
    </row>
    <row r="5" spans="1:2" x14ac:dyDescent="0.3">
      <c r="A5" s="1">
        <v>5</v>
      </c>
      <c r="B5">
        <v>5</v>
      </c>
    </row>
    <row r="6" spans="1:2" x14ac:dyDescent="0.3">
      <c r="A6" s="1">
        <v>6</v>
      </c>
      <c r="B6">
        <v>6</v>
      </c>
    </row>
    <row r="7" spans="1:2" x14ac:dyDescent="0.3">
      <c r="A7" s="1">
        <v>7</v>
      </c>
      <c r="B7">
        <v>7</v>
      </c>
    </row>
    <row r="8" spans="1:2" x14ac:dyDescent="0.3">
      <c r="A8" s="1">
        <v>8</v>
      </c>
      <c r="B8">
        <v>8</v>
      </c>
    </row>
    <row r="9" spans="1:2" x14ac:dyDescent="0.3">
      <c r="B9">
        <v>9</v>
      </c>
    </row>
    <row r="10" spans="1:2" x14ac:dyDescent="0.3">
      <c r="B10">
        <v>10</v>
      </c>
    </row>
    <row r="11" spans="1:2" x14ac:dyDescent="0.3">
      <c r="B11">
        <v>11</v>
      </c>
    </row>
    <row r="12" spans="1:2" x14ac:dyDescent="0.3">
      <c r="B12">
        <v>12</v>
      </c>
    </row>
    <row r="13" spans="1:2" x14ac:dyDescent="0.3">
      <c r="B13">
        <v>13</v>
      </c>
    </row>
    <row r="14" spans="1:2" x14ac:dyDescent="0.3">
      <c r="B14">
        <v>14</v>
      </c>
    </row>
    <row r="15" spans="1:2" x14ac:dyDescent="0.3">
      <c r="B15">
        <v>15</v>
      </c>
    </row>
    <row r="16" spans="1:2" x14ac:dyDescent="0.3">
      <c r="B16">
        <v>16</v>
      </c>
    </row>
    <row r="17" spans="2:2" x14ac:dyDescent="0.3">
      <c r="B17">
        <v>17</v>
      </c>
    </row>
    <row r="18" spans="2:2" x14ac:dyDescent="0.3">
      <c r="B18">
        <v>18</v>
      </c>
    </row>
    <row r="19" spans="2:2" x14ac:dyDescent="0.3">
      <c r="B19">
        <v>19</v>
      </c>
    </row>
    <row r="20" spans="2:2" x14ac:dyDescent="0.3">
      <c r="B20">
        <v>20</v>
      </c>
    </row>
    <row r="21" spans="2:2" x14ac:dyDescent="0.3">
      <c r="B21">
        <v>21</v>
      </c>
    </row>
    <row r="22" spans="2:2" x14ac:dyDescent="0.3">
      <c r="B22">
        <v>22</v>
      </c>
    </row>
    <row r="23" spans="2:2" x14ac:dyDescent="0.3">
      <c r="B23">
        <v>23</v>
      </c>
    </row>
    <row r="24" spans="2:2" x14ac:dyDescent="0.3">
      <c r="B24">
        <v>24</v>
      </c>
    </row>
    <row r="25" spans="2:2" x14ac:dyDescent="0.3">
      <c r="B25">
        <v>25</v>
      </c>
    </row>
    <row r="26" spans="2:2" x14ac:dyDescent="0.3">
      <c r="B26">
        <v>26</v>
      </c>
    </row>
    <row r="27" spans="2:2" x14ac:dyDescent="0.3">
      <c r="B27">
        <v>27</v>
      </c>
    </row>
    <row r="28" spans="2:2" x14ac:dyDescent="0.3">
      <c r="B28">
        <v>28</v>
      </c>
    </row>
    <row r="29" spans="2:2" x14ac:dyDescent="0.3">
      <c r="B29">
        <v>29</v>
      </c>
    </row>
    <row r="30" spans="2:2" x14ac:dyDescent="0.3">
      <c r="B30">
        <v>30</v>
      </c>
    </row>
    <row r="31" spans="2:2" x14ac:dyDescent="0.3">
      <c r="B31">
        <v>31</v>
      </c>
    </row>
    <row r="32" spans="2:2" x14ac:dyDescent="0.3">
      <c r="B32">
        <v>32</v>
      </c>
    </row>
    <row r="33" spans="2:2" x14ac:dyDescent="0.3">
      <c r="B33">
        <v>33</v>
      </c>
    </row>
    <row r="34" spans="2:2" x14ac:dyDescent="0.3">
      <c r="B34">
        <v>34</v>
      </c>
    </row>
    <row r="35" spans="2:2" x14ac:dyDescent="0.3">
      <c r="B35">
        <v>35</v>
      </c>
    </row>
    <row r="36" spans="2:2" x14ac:dyDescent="0.3">
      <c r="B36">
        <v>36</v>
      </c>
    </row>
    <row r="37" spans="2:2" x14ac:dyDescent="0.3">
      <c r="B37">
        <v>37</v>
      </c>
    </row>
    <row r="38" spans="2:2" x14ac:dyDescent="0.3">
      <c r="B38">
        <v>38</v>
      </c>
    </row>
    <row r="39" spans="2:2" x14ac:dyDescent="0.3">
      <c r="B39">
        <v>39</v>
      </c>
    </row>
    <row r="40" spans="2:2" x14ac:dyDescent="0.3">
      <c r="B40">
        <v>40</v>
      </c>
    </row>
    <row r="41" spans="2:2" x14ac:dyDescent="0.3">
      <c r="B41">
        <v>41</v>
      </c>
    </row>
    <row r="42" spans="2:2" x14ac:dyDescent="0.3">
      <c r="B42">
        <v>42</v>
      </c>
    </row>
    <row r="43" spans="2:2" x14ac:dyDescent="0.3">
      <c r="B43">
        <v>43</v>
      </c>
    </row>
    <row r="44" spans="2:2" x14ac:dyDescent="0.3">
      <c r="B44">
        <v>44</v>
      </c>
    </row>
    <row r="45" spans="2:2" x14ac:dyDescent="0.3">
      <c r="B45">
        <v>45</v>
      </c>
    </row>
    <row r="46" spans="2:2" x14ac:dyDescent="0.3">
      <c r="B46">
        <v>46</v>
      </c>
    </row>
    <row r="47" spans="2:2" x14ac:dyDescent="0.3">
      <c r="B47">
        <v>47</v>
      </c>
    </row>
    <row r="48" spans="2:2" x14ac:dyDescent="0.3">
      <c r="B48">
        <v>48</v>
      </c>
    </row>
    <row r="49" spans="2:2" x14ac:dyDescent="0.3">
      <c r="B49">
        <v>49</v>
      </c>
    </row>
    <row r="50" spans="2:2" x14ac:dyDescent="0.3">
      <c r="B50">
        <v>50</v>
      </c>
    </row>
    <row r="51" spans="2:2" x14ac:dyDescent="0.3">
      <c r="B51">
        <v>51</v>
      </c>
    </row>
    <row r="52" spans="2:2" x14ac:dyDescent="0.3">
      <c r="B52">
        <v>52</v>
      </c>
    </row>
    <row r="53" spans="2:2" x14ac:dyDescent="0.3">
      <c r="B53">
        <v>53</v>
      </c>
    </row>
    <row r="54" spans="2:2" x14ac:dyDescent="0.3">
      <c r="B54">
        <v>54</v>
      </c>
    </row>
    <row r="55" spans="2:2" x14ac:dyDescent="0.3">
      <c r="B55">
        <v>55</v>
      </c>
    </row>
    <row r="56" spans="2:2" x14ac:dyDescent="0.3">
      <c r="B56">
        <v>56</v>
      </c>
    </row>
    <row r="57" spans="2:2" x14ac:dyDescent="0.3">
      <c r="B57">
        <v>57</v>
      </c>
    </row>
    <row r="58" spans="2:2" x14ac:dyDescent="0.3">
      <c r="B58">
        <v>58</v>
      </c>
    </row>
    <row r="59" spans="2:2" x14ac:dyDescent="0.3">
      <c r="B59">
        <v>59</v>
      </c>
    </row>
    <row r="60" spans="2:2" x14ac:dyDescent="0.3">
      <c r="B60">
        <v>60</v>
      </c>
    </row>
    <row r="61" spans="2:2" x14ac:dyDescent="0.3">
      <c r="B61">
        <v>61</v>
      </c>
    </row>
    <row r="62" spans="2:2" x14ac:dyDescent="0.3">
      <c r="B62">
        <v>62</v>
      </c>
    </row>
    <row r="63" spans="2:2" x14ac:dyDescent="0.3">
      <c r="B63">
        <v>63</v>
      </c>
    </row>
    <row r="64" spans="2:2" x14ac:dyDescent="0.3">
      <c r="B64">
        <v>64</v>
      </c>
    </row>
    <row r="65" spans="2:2" x14ac:dyDescent="0.3">
      <c r="B65">
        <v>65</v>
      </c>
    </row>
    <row r="66" spans="2:2" x14ac:dyDescent="0.3">
      <c r="B66">
        <v>66</v>
      </c>
    </row>
    <row r="67" spans="2:2" x14ac:dyDescent="0.3">
      <c r="B67">
        <v>67</v>
      </c>
    </row>
    <row r="68" spans="2:2" x14ac:dyDescent="0.3">
      <c r="B68">
        <v>68</v>
      </c>
    </row>
    <row r="69" spans="2:2" x14ac:dyDescent="0.3">
      <c r="B69">
        <v>69</v>
      </c>
    </row>
    <row r="70" spans="2:2" x14ac:dyDescent="0.3">
      <c r="B70">
        <v>70</v>
      </c>
    </row>
    <row r="71" spans="2:2" x14ac:dyDescent="0.3">
      <c r="B71">
        <v>71</v>
      </c>
    </row>
    <row r="72" spans="2:2" x14ac:dyDescent="0.3">
      <c r="B72">
        <v>72</v>
      </c>
    </row>
    <row r="73" spans="2:2" x14ac:dyDescent="0.3">
      <c r="B73">
        <v>73</v>
      </c>
    </row>
    <row r="74" spans="2:2" x14ac:dyDescent="0.3">
      <c r="B74">
        <v>74</v>
      </c>
    </row>
    <row r="75" spans="2:2" x14ac:dyDescent="0.3">
      <c r="B75">
        <v>75</v>
      </c>
    </row>
    <row r="76" spans="2:2" x14ac:dyDescent="0.3">
      <c r="B76">
        <v>76</v>
      </c>
    </row>
    <row r="77" spans="2:2" x14ac:dyDescent="0.3">
      <c r="B77">
        <v>77</v>
      </c>
    </row>
    <row r="78" spans="2:2" x14ac:dyDescent="0.3">
      <c r="B78">
        <v>78</v>
      </c>
    </row>
    <row r="79" spans="2:2" x14ac:dyDescent="0.3">
      <c r="B79">
        <v>79</v>
      </c>
    </row>
    <row r="80" spans="2:2" x14ac:dyDescent="0.3">
      <c r="B80">
        <v>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CD4A-9BA3-4528-95A4-34335BE60BB7}">
  <sheetPr codeName="Sheet3"/>
  <dimension ref="A1:D3"/>
  <sheetViews>
    <sheetView workbookViewId="0">
      <selection activeCell="C2" sqref="C2"/>
    </sheetView>
  </sheetViews>
  <sheetFormatPr defaultColWidth="0" defaultRowHeight="14.4" zeroHeight="1" x14ac:dyDescent="0.3"/>
  <cols>
    <col min="1" max="1" width="9.109375" customWidth="1"/>
    <col min="2" max="2" width="20" bestFit="1" customWidth="1"/>
    <col min="3" max="4" width="9.109375" customWidth="1"/>
    <col min="5" max="16384" width="9.109375" hidden="1"/>
  </cols>
  <sheetData>
    <row r="1" spans="1:4" x14ac:dyDescent="0.3">
      <c r="A1" s="72"/>
      <c r="B1" s="73"/>
      <c r="C1" s="73"/>
      <c r="D1" s="74"/>
    </row>
    <row r="2" spans="1:4" x14ac:dyDescent="0.3">
      <c r="A2" s="75"/>
      <c r="B2" s="81" t="s">
        <v>2</v>
      </c>
      <c r="C2" s="80">
        <v>1</v>
      </c>
      <c r="D2" s="76"/>
    </row>
    <row r="3" spans="1:4" ht="15" thickBot="1" x14ac:dyDescent="0.35">
      <c r="A3" s="77"/>
      <c r="B3" s="78"/>
      <c r="C3" s="78"/>
      <c r="D3" s="7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CE030F-78DC-4D59-ADBE-8AB93CA5F121}">
          <x14:formula1>
            <xm:f>List!$B$1:$B$80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071C5-B42E-4E91-8A65-CFD6C0A0CF30}">
  <sheetPr codeName="Sheet1"/>
  <dimension ref="A1:L58"/>
  <sheetViews>
    <sheetView tabSelected="1" zoomScale="70" zoomScaleNormal="70" workbookViewId="0">
      <selection activeCell="C3" sqref="C3"/>
    </sheetView>
  </sheetViews>
  <sheetFormatPr defaultColWidth="0" defaultRowHeight="14.4" x14ac:dyDescent="0.3"/>
  <cols>
    <col min="1" max="1" width="9.109375" style="3" customWidth="1"/>
    <col min="2" max="2" width="17.44140625" style="2" bestFit="1" customWidth="1"/>
    <col min="3" max="10" width="20.6640625" style="4" customWidth="1"/>
    <col min="11" max="12" width="20.6640625" style="3" customWidth="1"/>
    <col min="13" max="16384" width="9.109375" style="3" hidden="1"/>
  </cols>
  <sheetData>
    <row r="1" spans="1:12" x14ac:dyDescent="0.3">
      <c r="A1" s="5"/>
      <c r="B1" s="6"/>
      <c r="C1" s="7"/>
      <c r="D1" s="7"/>
      <c r="E1" s="7"/>
      <c r="F1" s="7"/>
      <c r="G1" s="7"/>
      <c r="H1" s="7"/>
      <c r="I1" s="7"/>
      <c r="J1" s="7"/>
      <c r="K1" s="8"/>
      <c r="L1" s="9"/>
    </row>
    <row r="2" spans="1:12" x14ac:dyDescent="0.3">
      <c r="A2" s="10"/>
      <c r="B2" s="11" t="s">
        <v>3</v>
      </c>
      <c r="C2" s="4">
        <v>1</v>
      </c>
      <c r="D2" s="12"/>
      <c r="E2" s="12"/>
      <c r="F2" s="12"/>
      <c r="G2" s="12"/>
      <c r="H2" s="12"/>
      <c r="I2" s="12"/>
      <c r="J2" s="12"/>
      <c r="K2" s="13"/>
      <c r="L2" s="14"/>
    </row>
    <row r="3" spans="1:12" x14ac:dyDescent="0.3">
      <c r="A3" s="10"/>
      <c r="B3" s="11" t="s">
        <v>1</v>
      </c>
      <c r="C3" s="4">
        <v>2</v>
      </c>
      <c r="D3" s="12"/>
      <c r="E3" s="12"/>
      <c r="F3" s="12"/>
      <c r="G3" s="12"/>
      <c r="H3" s="12"/>
      <c r="I3" s="12"/>
      <c r="J3" s="12"/>
      <c r="K3" s="13"/>
      <c r="L3" s="14"/>
    </row>
    <row r="4" spans="1:12" ht="29.25" customHeight="1" x14ac:dyDescent="0.3">
      <c r="A4" s="10"/>
      <c r="B4" s="11" t="s">
        <v>5</v>
      </c>
      <c r="C4" s="57"/>
      <c r="D4" s="58"/>
      <c r="E4" s="58"/>
      <c r="F4" s="58"/>
      <c r="G4" s="58"/>
      <c r="H4" s="59"/>
      <c r="I4" s="59"/>
      <c r="J4" s="59"/>
      <c r="K4" s="15"/>
      <c r="L4" s="16"/>
    </row>
    <row r="5" spans="1:12" x14ac:dyDescent="0.3">
      <c r="A5" s="10"/>
      <c r="B5" s="11" t="s">
        <v>4</v>
      </c>
      <c r="C5" s="60">
        <f>IF(ISNUMBER(C3),1,"")</f>
        <v>1</v>
      </c>
      <c r="D5" s="61">
        <f>IF(ISNUMBER(C5),IF(C5+1&lt;=$C$3,C5+1,""),"")</f>
        <v>2</v>
      </c>
      <c r="E5" s="62" t="str">
        <f t="shared" ref="E5:J5" si="0">IF(ISNUMBER(D5),IF(D5+1&lt;=$C$3,D5+1,""),"")</f>
        <v/>
      </c>
      <c r="F5" s="63" t="str">
        <f t="shared" si="0"/>
        <v/>
      </c>
      <c r="G5" s="64" t="str">
        <f t="shared" si="0"/>
        <v/>
      </c>
      <c r="H5" s="65" t="str">
        <f t="shared" si="0"/>
        <v/>
      </c>
      <c r="I5" s="66" t="str">
        <f t="shared" si="0"/>
        <v/>
      </c>
      <c r="J5" s="31" t="str">
        <f t="shared" si="0"/>
        <v/>
      </c>
      <c r="K5" s="12"/>
      <c r="L5" s="17"/>
    </row>
    <row r="6" spans="1:12" ht="105" customHeight="1" x14ac:dyDescent="0.3">
      <c r="A6" s="10"/>
      <c r="B6" s="11"/>
      <c r="C6" s="67"/>
      <c r="D6" s="67"/>
      <c r="E6" s="67"/>
      <c r="F6" s="68"/>
      <c r="G6" s="67"/>
      <c r="H6" s="67"/>
      <c r="I6" s="69"/>
      <c r="J6" s="70"/>
      <c r="K6" s="18"/>
      <c r="L6" s="19"/>
    </row>
    <row r="7" spans="1:12" x14ac:dyDescent="0.3">
      <c r="A7" s="10"/>
      <c r="B7" s="11" t="s">
        <v>6</v>
      </c>
      <c r="C7" s="12"/>
      <c r="D7" s="12"/>
      <c r="E7" s="12"/>
      <c r="F7" s="12"/>
      <c r="G7" s="12"/>
      <c r="H7" s="12"/>
      <c r="I7" s="12"/>
      <c r="J7" s="12"/>
      <c r="K7" s="13"/>
      <c r="L7" s="14"/>
    </row>
    <row r="8" spans="1:12" x14ac:dyDescent="0.3">
      <c r="A8" s="10"/>
      <c r="B8" s="11" t="s">
        <v>7</v>
      </c>
      <c r="C8" s="12"/>
      <c r="D8" s="12"/>
      <c r="E8" s="12"/>
      <c r="F8" s="12"/>
      <c r="G8" s="12"/>
      <c r="H8" s="12"/>
      <c r="I8" s="12"/>
      <c r="J8" s="12"/>
      <c r="K8" s="13"/>
      <c r="L8" s="14"/>
    </row>
    <row r="9" spans="1:12" x14ac:dyDescent="0.3">
      <c r="A9" s="10"/>
      <c r="B9" s="11"/>
      <c r="C9" s="70" t="str">
        <f ca="1">C$38*100 &amp; "% - " &amp; C$39*100 &amp; "%"</f>
        <v>0% - 0%</v>
      </c>
      <c r="D9" s="70" t="str">
        <f ca="1">D$38*100 &amp; "% - " &amp; D$39*100 &amp; "%"</f>
        <v>0% - 0%</v>
      </c>
      <c r="E9" s="70" t="str">
        <f>E$38*100 &amp; "% - " &amp; E$39*100 &amp; "%"</f>
        <v>0% - 0%</v>
      </c>
      <c r="F9" s="70" t="str">
        <f t="shared" ref="F9:J9" si="1">F$38*100 &amp; "% - " &amp; F$39*100 &amp; "%"</f>
        <v>0% - 0%</v>
      </c>
      <c r="G9" s="70" t="str">
        <f t="shared" si="1"/>
        <v>0% - 0%</v>
      </c>
      <c r="H9" s="70" t="str">
        <f t="shared" si="1"/>
        <v>0% - 0%</v>
      </c>
      <c r="I9" s="70" t="str">
        <f t="shared" si="1"/>
        <v>0% - 0%</v>
      </c>
      <c r="J9" s="70" t="str">
        <f t="shared" si="1"/>
        <v>0% - 0%</v>
      </c>
      <c r="K9" s="13"/>
      <c r="L9" s="14"/>
    </row>
    <row r="10" spans="1:12" x14ac:dyDescent="0.3">
      <c r="A10" s="10"/>
      <c r="B10" s="11"/>
      <c r="C10" s="12"/>
      <c r="D10" s="12"/>
      <c r="E10" s="12"/>
      <c r="F10" s="12"/>
      <c r="G10" s="12"/>
      <c r="H10" s="12"/>
      <c r="I10" s="12"/>
      <c r="J10" s="12"/>
      <c r="K10" s="13"/>
      <c r="L10" s="14"/>
    </row>
    <row r="11" spans="1:12" x14ac:dyDescent="0.3">
      <c r="A11" s="10"/>
      <c r="B11" s="11"/>
      <c r="C11" s="12"/>
      <c r="D11" s="12"/>
      <c r="E11" s="12"/>
      <c r="F11" s="12"/>
      <c r="G11" s="12"/>
      <c r="H11" s="12"/>
      <c r="I11" s="12"/>
      <c r="J11" s="12"/>
      <c r="K11" s="13"/>
      <c r="L11" s="14"/>
    </row>
    <row r="12" spans="1:12" x14ac:dyDescent="0.3">
      <c r="A12" s="10"/>
      <c r="B12" s="11"/>
      <c r="C12" s="12"/>
      <c r="D12" s="12"/>
      <c r="E12" s="12"/>
      <c r="F12" s="12"/>
      <c r="G12" s="12"/>
      <c r="H12" s="12"/>
      <c r="I12" s="12"/>
      <c r="J12" s="12"/>
      <c r="K12" s="13"/>
      <c r="L12" s="14"/>
    </row>
    <row r="13" spans="1:12" x14ac:dyDescent="0.3">
      <c r="A13" s="10"/>
      <c r="B13" s="11"/>
      <c r="C13" s="12"/>
      <c r="D13" s="12"/>
      <c r="E13" s="12"/>
      <c r="F13" s="12"/>
      <c r="G13" s="12"/>
      <c r="H13" s="12"/>
      <c r="I13" s="12"/>
      <c r="J13" s="12"/>
      <c r="K13" s="13"/>
      <c r="L13" s="14"/>
    </row>
    <row r="14" spans="1:12" x14ac:dyDescent="0.3">
      <c r="A14" s="10"/>
      <c r="B14" s="11"/>
      <c r="C14" s="12"/>
      <c r="D14" s="12"/>
      <c r="E14" s="12"/>
      <c r="F14" s="12"/>
      <c r="G14" s="12"/>
      <c r="H14" s="12"/>
      <c r="I14" s="12"/>
      <c r="J14" s="12"/>
      <c r="K14" s="13"/>
      <c r="L14" s="14"/>
    </row>
    <row r="15" spans="1:12" x14ac:dyDescent="0.3">
      <c r="A15" s="10"/>
      <c r="B15" s="11"/>
      <c r="C15" s="12"/>
      <c r="D15" s="12"/>
      <c r="E15" s="12"/>
      <c r="F15" s="12"/>
      <c r="G15" s="12"/>
      <c r="H15" s="12"/>
      <c r="I15" s="12"/>
      <c r="J15" s="12"/>
      <c r="K15" s="13"/>
      <c r="L15" s="14"/>
    </row>
    <row r="16" spans="1:12" x14ac:dyDescent="0.3">
      <c r="A16" s="10"/>
      <c r="B16" s="11"/>
      <c r="C16" s="12"/>
      <c r="D16" s="12"/>
      <c r="E16" s="12"/>
      <c r="F16" s="12"/>
      <c r="G16" s="12"/>
      <c r="H16" s="12"/>
      <c r="I16" s="12"/>
      <c r="J16" s="12"/>
      <c r="K16" s="13"/>
      <c r="L16" s="14"/>
    </row>
    <row r="17" spans="1:12" x14ac:dyDescent="0.3">
      <c r="A17" s="10"/>
      <c r="B17" s="11"/>
      <c r="C17" s="12"/>
      <c r="D17" s="12"/>
      <c r="E17" s="12"/>
      <c r="F17" s="12"/>
      <c r="G17" s="12"/>
      <c r="H17" s="12"/>
      <c r="I17" s="12"/>
      <c r="J17" s="12"/>
      <c r="K17" s="13"/>
      <c r="L17" s="14"/>
    </row>
    <row r="18" spans="1:12" x14ac:dyDescent="0.3">
      <c r="A18" s="10"/>
      <c r="B18" s="11"/>
      <c r="C18" s="12"/>
      <c r="D18" s="12"/>
      <c r="E18" s="12"/>
      <c r="F18" s="12"/>
      <c r="G18" s="12"/>
      <c r="H18" s="12"/>
      <c r="I18" s="12"/>
      <c r="J18" s="12"/>
      <c r="K18" s="13"/>
      <c r="L18" s="14"/>
    </row>
    <row r="19" spans="1:12" x14ac:dyDescent="0.3">
      <c r="A19" s="10"/>
      <c r="B19" s="11"/>
      <c r="C19" s="12"/>
      <c r="D19" s="12"/>
      <c r="E19" s="12"/>
      <c r="F19" s="12"/>
      <c r="G19" s="12"/>
      <c r="H19" s="12"/>
      <c r="I19" s="12"/>
      <c r="J19" s="12"/>
      <c r="K19" s="13"/>
      <c r="L19" s="14"/>
    </row>
    <row r="20" spans="1:12" x14ac:dyDescent="0.3">
      <c r="A20" s="10"/>
      <c r="B20" s="11"/>
      <c r="C20" s="12"/>
      <c r="D20" s="12"/>
      <c r="E20" s="12"/>
      <c r="F20" s="12"/>
      <c r="G20" s="12"/>
      <c r="H20" s="12"/>
      <c r="I20" s="12"/>
      <c r="J20" s="12"/>
      <c r="K20" s="13"/>
      <c r="L20" s="14"/>
    </row>
    <row r="21" spans="1:12" x14ac:dyDescent="0.3">
      <c r="A21" s="10"/>
      <c r="B21" s="11"/>
      <c r="C21" s="12"/>
      <c r="D21" s="12"/>
      <c r="E21" s="12"/>
      <c r="F21" s="12"/>
      <c r="G21" s="12"/>
      <c r="H21" s="12"/>
      <c r="I21" s="12"/>
      <c r="J21" s="12"/>
      <c r="K21" s="13"/>
      <c r="L21" s="14"/>
    </row>
    <row r="22" spans="1:12" ht="15" thickBot="1" x14ac:dyDescent="0.35">
      <c r="A22" s="20"/>
      <c r="B22" s="21"/>
      <c r="C22" s="22"/>
      <c r="D22" s="22"/>
      <c r="E22" s="22"/>
      <c r="F22" s="22"/>
      <c r="G22" s="22"/>
      <c r="H22" s="22"/>
      <c r="I22" s="22"/>
      <c r="J22" s="22"/>
      <c r="K22" s="23"/>
      <c r="L22" s="24"/>
    </row>
    <row r="23" spans="1:12" x14ac:dyDescent="0.3">
      <c r="A23" s="25"/>
      <c r="B23" s="26"/>
      <c r="C23" s="47"/>
      <c r="D23" s="27"/>
      <c r="E23" s="27"/>
      <c r="F23" s="27"/>
      <c r="G23" s="27"/>
      <c r="H23" s="27"/>
      <c r="I23" s="27"/>
      <c r="J23" s="27"/>
      <c r="K23" s="28"/>
      <c r="L23" s="29"/>
    </row>
    <row r="24" spans="1:12" x14ac:dyDescent="0.3">
      <c r="A24" s="30"/>
      <c r="B24" s="42" t="s">
        <v>22</v>
      </c>
      <c r="C24" s="48">
        <f ca="1">$C$3-MAX($C$31:$J$31)</f>
        <v>2</v>
      </c>
      <c r="D24" s="31"/>
      <c r="E24" s="31"/>
      <c r="F24" s="31"/>
      <c r="G24" s="31"/>
      <c r="H24" s="31"/>
      <c r="I24" s="31"/>
      <c r="J24" s="31"/>
      <c r="K24" s="32"/>
      <c r="L24" s="33"/>
    </row>
    <row r="25" spans="1:12" x14ac:dyDescent="0.3">
      <c r="A25" s="30"/>
      <c r="B25" s="44" t="s">
        <v>23</v>
      </c>
      <c r="C25" s="56">
        <f ca="1">SUMIFS($C$39:$J$39,$C$31:$J$31,"&gt;0",$C$31:$J$31,"&lt;"&amp;$C$3-1)+SUMIFS($C$38:$J$38,$C$31:$J$31,"=0")+SUMIFS($C$38:$J$38,$C$31:$J$31,"="&amp;$C$3)</f>
        <v>0</v>
      </c>
      <c r="D25" s="46"/>
      <c r="E25" s="46"/>
      <c r="F25" s="46"/>
      <c r="G25" s="46"/>
      <c r="H25" s="46"/>
      <c r="I25" s="46"/>
      <c r="J25" s="46"/>
      <c r="K25" s="32"/>
      <c r="L25" s="33"/>
    </row>
    <row r="26" spans="1:12" x14ac:dyDescent="0.3">
      <c r="A26" s="30"/>
      <c r="B26" s="43" t="s">
        <v>8</v>
      </c>
      <c r="C26" s="12"/>
      <c r="D26" s="12"/>
      <c r="E26" s="12"/>
      <c r="F26" s="12"/>
      <c r="G26" s="12"/>
      <c r="H26" s="12"/>
      <c r="I26" s="12"/>
      <c r="J26" s="49"/>
      <c r="K26" s="32"/>
      <c r="L26" s="33"/>
    </row>
    <row r="27" spans="1:12" x14ac:dyDescent="0.3">
      <c r="A27" s="30"/>
      <c r="B27" s="43" t="s">
        <v>9</v>
      </c>
      <c r="C27" s="12"/>
      <c r="D27" s="12"/>
      <c r="E27" s="12"/>
      <c r="F27" s="12"/>
      <c r="G27" s="12"/>
      <c r="H27" s="12"/>
      <c r="I27" s="12"/>
      <c r="J27" s="50"/>
      <c r="K27" s="32"/>
      <c r="L27" s="33"/>
    </row>
    <row r="28" spans="1:12" x14ac:dyDescent="0.3">
      <c r="A28" s="30"/>
      <c r="B28" s="43" t="s">
        <v>12</v>
      </c>
      <c r="C28" s="35" t="str">
        <f ca="1">IF(C26&lt;&gt;"", IF(C28="", NOW(), C28), "")</f>
        <v/>
      </c>
      <c r="D28" s="35" t="str">
        <f t="shared" ref="D28:J28" ca="1" si="2">IF(D26&lt;&gt;"", IF(D28="", NOW(), D28), "")</f>
        <v/>
      </c>
      <c r="E28" s="35" t="str">
        <f t="shared" ca="1" si="2"/>
        <v/>
      </c>
      <c r="F28" s="35" t="str">
        <f t="shared" ca="1" si="2"/>
        <v/>
      </c>
      <c r="G28" s="35" t="str">
        <f t="shared" ca="1" si="2"/>
        <v/>
      </c>
      <c r="H28" s="35" t="str">
        <f t="shared" ca="1" si="2"/>
        <v/>
      </c>
      <c r="I28" s="35" t="str">
        <f t="shared" ca="1" si="2"/>
        <v/>
      </c>
      <c r="J28" s="51" t="str">
        <f t="shared" ca="1" si="2"/>
        <v/>
      </c>
      <c r="K28" s="32"/>
      <c r="L28" s="33"/>
    </row>
    <row r="29" spans="1:12" x14ac:dyDescent="0.3">
      <c r="A29" s="30"/>
      <c r="B29" s="43" t="s">
        <v>13</v>
      </c>
      <c r="C29" s="35" t="str">
        <f ca="1">IF(C27&lt;&gt;"", IF(C29="", NOW(), C29), "")</f>
        <v/>
      </c>
      <c r="D29" s="35" t="str">
        <f t="shared" ref="D29:J29" ca="1" si="3">IF(D27&lt;&gt;"", IF(D29="", NOW(), D29), "")</f>
        <v/>
      </c>
      <c r="E29" s="35" t="str">
        <f t="shared" ca="1" si="3"/>
        <v/>
      </c>
      <c r="F29" s="35" t="str">
        <f t="shared" ca="1" si="3"/>
        <v/>
      </c>
      <c r="G29" s="35" t="str">
        <f t="shared" ca="1" si="3"/>
        <v/>
      </c>
      <c r="H29" s="35" t="str">
        <f t="shared" ca="1" si="3"/>
        <v/>
      </c>
      <c r="I29" s="35" t="str">
        <f t="shared" ca="1" si="3"/>
        <v/>
      </c>
      <c r="J29" s="51" t="str">
        <f t="shared" ca="1" si="3"/>
        <v/>
      </c>
      <c r="K29" s="32"/>
      <c r="L29" s="33"/>
    </row>
    <row r="30" spans="1:12" x14ac:dyDescent="0.3">
      <c r="A30" s="30"/>
      <c r="B30" s="43" t="s">
        <v>10</v>
      </c>
      <c r="C30" s="12">
        <f ca="1">IF(C28="", $C$3+1, _xlfn.RANK.EQ(C28, $C28:$J28, 1))</f>
        <v>3</v>
      </c>
      <c r="D30" s="12">
        <f t="shared" ref="D30:J30" ca="1" si="4">IF(D28="", $C$3+1, _xlfn.RANK.EQ(D28, $C28:$J28, 1))</f>
        <v>3</v>
      </c>
      <c r="E30" s="12">
        <f t="shared" ca="1" si="4"/>
        <v>3</v>
      </c>
      <c r="F30" s="12">
        <f t="shared" ca="1" si="4"/>
        <v>3</v>
      </c>
      <c r="G30" s="12">
        <f t="shared" ca="1" si="4"/>
        <v>3</v>
      </c>
      <c r="H30" s="12">
        <f t="shared" ca="1" si="4"/>
        <v>3</v>
      </c>
      <c r="I30" s="12">
        <f t="shared" ca="1" si="4"/>
        <v>3</v>
      </c>
      <c r="J30" s="50">
        <f t="shared" ca="1" si="4"/>
        <v>3</v>
      </c>
      <c r="K30" s="32"/>
      <c r="L30" s="33"/>
    </row>
    <row r="31" spans="1:12" x14ac:dyDescent="0.3">
      <c r="A31" s="30"/>
      <c r="B31" s="43" t="s">
        <v>11</v>
      </c>
      <c r="C31" s="12">
        <f ca="1">IF(C29="", 0, _xlfn.RANK.EQ(C29, $C29:$J29, 1))</f>
        <v>0</v>
      </c>
      <c r="D31" s="12">
        <f t="shared" ref="D31:J31" ca="1" si="5">IF(D29="", 0, _xlfn.RANK.EQ(D29, $C29:$J29, 1))</f>
        <v>0</v>
      </c>
      <c r="E31" s="12">
        <f t="shared" ca="1" si="5"/>
        <v>0</v>
      </c>
      <c r="F31" s="12">
        <f t="shared" ca="1" si="5"/>
        <v>0</v>
      </c>
      <c r="G31" s="12">
        <f t="shared" ca="1" si="5"/>
        <v>0</v>
      </c>
      <c r="H31" s="12">
        <f t="shared" ca="1" si="5"/>
        <v>0</v>
      </c>
      <c r="I31" s="12">
        <f t="shared" ca="1" si="5"/>
        <v>0</v>
      </c>
      <c r="J31" s="50">
        <f t="shared" ca="1" si="5"/>
        <v>0</v>
      </c>
      <c r="K31" s="32"/>
      <c r="L31" s="33"/>
    </row>
    <row r="32" spans="1:12" x14ac:dyDescent="0.3">
      <c r="A32" s="30"/>
      <c r="B32" s="43" t="s">
        <v>14</v>
      </c>
      <c r="C32" s="36">
        <f t="shared" ref="C32:J32" ca="1" si="6">SUMIFS($C$38:$J$38,$C$30:$J$30,"&lt;"&amp;C$30)</f>
        <v>0</v>
      </c>
      <c r="D32" s="36">
        <f t="shared" ca="1" si="6"/>
        <v>0</v>
      </c>
      <c r="E32" s="36">
        <f t="shared" ca="1" si="6"/>
        <v>0</v>
      </c>
      <c r="F32" s="36">
        <f t="shared" ca="1" si="6"/>
        <v>0</v>
      </c>
      <c r="G32" s="36">
        <f t="shared" ca="1" si="6"/>
        <v>0</v>
      </c>
      <c r="H32" s="36">
        <f t="shared" ca="1" si="6"/>
        <v>0</v>
      </c>
      <c r="I32" s="36">
        <f t="shared" ca="1" si="6"/>
        <v>0</v>
      </c>
      <c r="J32" s="52">
        <f t="shared" ca="1" si="6"/>
        <v>0</v>
      </c>
      <c r="K32" s="32"/>
      <c r="L32" s="33"/>
    </row>
    <row r="33" spans="1:12" x14ac:dyDescent="0.3">
      <c r="A33" s="30"/>
      <c r="B33" s="43" t="s">
        <v>15</v>
      </c>
      <c r="C33" s="36">
        <f ca="1">IF(AND(C$31&lt;&gt;0,C$31&lt;&gt;$C$3),1-SUMIFS($C$39:$J$39,$C$31:$J$31,"&lt;&gt;"&amp;$C$3)+C$39-C$38,0)</f>
        <v>0</v>
      </c>
      <c r="D33" s="36">
        <f t="shared" ref="D33:I33" ca="1" si="7">IF(AND(D$31&lt;&gt;0,D$31&lt;&gt;$C$3),1-SUMIFS($C$39:$J$39,$C$31:$J$31,"&lt;&gt;"&amp;$C$3)+D$39-D$38,0)</f>
        <v>0</v>
      </c>
      <c r="E33" s="36">
        <f t="shared" ca="1" si="7"/>
        <v>0</v>
      </c>
      <c r="F33" s="36">
        <f t="shared" ca="1" si="7"/>
        <v>0</v>
      </c>
      <c r="G33" s="36">
        <f t="shared" ca="1" si="7"/>
        <v>0</v>
      </c>
      <c r="H33" s="36">
        <f t="shared" ca="1" si="7"/>
        <v>0</v>
      </c>
      <c r="I33" s="36">
        <f t="shared" ca="1" si="7"/>
        <v>0</v>
      </c>
      <c r="J33" s="52">
        <f ca="1">IF(AND(J$31&lt;&gt;0,J$31&lt;&gt;$C$3),1-SUMIFS($C$39:$J$39,$C$31:$J$31,"&lt;&gt;"&amp;$C$3)+J$39-J$38,0)</f>
        <v>0</v>
      </c>
      <c r="K33" s="32"/>
      <c r="L33" s="33"/>
    </row>
    <row r="34" spans="1:12" x14ac:dyDescent="0.3">
      <c r="A34" s="30"/>
      <c r="B34" s="43" t="s">
        <v>16</v>
      </c>
      <c r="C34" s="36">
        <v>0</v>
      </c>
      <c r="D34" s="36">
        <v>0</v>
      </c>
      <c r="E34" s="36">
        <v>0</v>
      </c>
      <c r="F34" s="36">
        <v>0</v>
      </c>
      <c r="G34" s="36">
        <v>0</v>
      </c>
      <c r="H34" s="36">
        <v>0</v>
      </c>
      <c r="I34" s="36">
        <v>0</v>
      </c>
      <c r="J34" s="52">
        <v>0</v>
      </c>
      <c r="K34" s="32"/>
      <c r="L34" s="33"/>
    </row>
    <row r="35" spans="1:12" x14ac:dyDescent="0.3">
      <c r="A35" s="30"/>
      <c r="B35" s="43" t="s">
        <v>17</v>
      </c>
      <c r="C35" s="36">
        <f ca="1">1-C$32</f>
        <v>1</v>
      </c>
      <c r="D35" s="36">
        <f ca="1">1-D$32</f>
        <v>1</v>
      </c>
      <c r="E35" s="36">
        <f t="shared" ref="E35:I35" ca="1" si="8">1-E$32</f>
        <v>1</v>
      </c>
      <c r="F35" s="36">
        <f t="shared" ca="1" si="8"/>
        <v>1</v>
      </c>
      <c r="G35" s="36">
        <f t="shared" ca="1" si="8"/>
        <v>1</v>
      </c>
      <c r="H35" s="36">
        <f t="shared" ca="1" si="8"/>
        <v>1</v>
      </c>
      <c r="I35" s="36">
        <f t="shared" ca="1" si="8"/>
        <v>1</v>
      </c>
      <c r="J35" s="52">
        <f ca="1">1-J$32</f>
        <v>1</v>
      </c>
      <c r="K35" s="32"/>
      <c r="L35" s="33"/>
    </row>
    <row r="36" spans="1:12" x14ac:dyDescent="0.3">
      <c r="A36" s="30"/>
      <c r="B36" s="43" t="s">
        <v>18</v>
      </c>
      <c r="C36" s="36">
        <f ca="1">IF(AND($C$24=2, C$31=0),
    MAX(C$38,1 - $C$25 + C$38),
    IF($C$24=1,
        IF(C$31=$C$3-1,
            MAX(C$38,1 - $C$25),
            IF(C$31=0,
                MAX(C$38,$C$33:$J$33),
                C$38)),
        IF($C$24=0,
            IF(C$31=$C$3-1,
                MAX(C$38,1 - $C$25),
                IF(C$31=$C$3,
                    MAX(C$38,$C$33:$J$33),
                    C$38)),
            C$38)))</f>
        <v>1</v>
      </c>
      <c r="D36" s="36">
        <f t="shared" ref="D36:I36" ca="1" si="9">IF(AND($C$24=2, D$31=0),
    MAX(D$38,1 - $C$25 + D$38),
    IF($C$24=1,
        IF(D$31=$C$3-1,
            MAX(D$38,1 - $C$25),
            IF(D$31=0,
                MAX(D$38,$C$33:$J$33),
                D$38)),
        IF($C$24=0,
            IF(D$31=$C$3-1,
                MAX(D$38,1 - $C$25),
                IF(D$31=$C$3,
                    MAX(D$38,$C$33:$J$33),
                    D$38)),
            D$38)))</f>
        <v>1</v>
      </c>
      <c r="E36" s="36">
        <f t="shared" ca="1" si="9"/>
        <v>1</v>
      </c>
      <c r="F36" s="36">
        <f t="shared" ca="1" si="9"/>
        <v>1</v>
      </c>
      <c r="G36" s="36">
        <f t="shared" ca="1" si="9"/>
        <v>1</v>
      </c>
      <c r="H36" s="36">
        <f t="shared" ca="1" si="9"/>
        <v>1</v>
      </c>
      <c r="I36" s="36">
        <f t="shared" ca="1" si="9"/>
        <v>1</v>
      </c>
      <c r="J36" s="52">
        <f ca="1">IF(AND($C$24=2, J$31=0),
    MAX(J$38,1 - $C$25 + J$38),
    IF($C$24=1,
        IF(J$31=$C$3-1,
            MAX(J$38,1 - $C$25),
            IF(J$31=0,
                MAX(J$38,$C$33:$J$33),
                J$38)),
        IF($C$24=0,
            IF(J$31=$C$3-1,
                MAX(J$38,1 - $C$25),
                IF(J$31=$C$3,
                    MAX(J$38,$C$33:$J$33),
                    J$38)),
            J$38)))</f>
        <v>1</v>
      </c>
      <c r="K36" s="32"/>
      <c r="L36" s="33"/>
    </row>
    <row r="37" spans="1:12" x14ac:dyDescent="0.3">
      <c r="A37" s="30"/>
      <c r="B37" s="43" t="s">
        <v>19</v>
      </c>
      <c r="C37" s="34">
        <f ca="1">1-SUM($C$38:$J$38)+C$38</f>
        <v>1</v>
      </c>
      <c r="D37" s="34">
        <f t="shared" ref="D37:J37" ca="1" si="10">1-SUM($C$38:$J$38)+D$38</f>
        <v>1</v>
      </c>
      <c r="E37" s="34">
        <f t="shared" ca="1" si="10"/>
        <v>1</v>
      </c>
      <c r="F37" s="34">
        <f t="shared" ca="1" si="10"/>
        <v>1</v>
      </c>
      <c r="G37" s="34">
        <f t="shared" ca="1" si="10"/>
        <v>1</v>
      </c>
      <c r="H37" s="34">
        <f t="shared" ca="1" si="10"/>
        <v>1</v>
      </c>
      <c r="I37" s="34">
        <f t="shared" ca="1" si="10"/>
        <v>1</v>
      </c>
      <c r="J37" s="53">
        <f t="shared" ca="1" si="10"/>
        <v>1</v>
      </c>
      <c r="K37" s="32"/>
      <c r="L37" s="33"/>
    </row>
    <row r="38" spans="1:12" x14ac:dyDescent="0.3">
      <c r="A38" s="30"/>
      <c r="B38" s="43" t="s">
        <v>20</v>
      </c>
      <c r="C38" s="36">
        <f ca="1">IF(ISNUMBER(C$5),ROUND(C$26/100*(C$35-C$34)+C$34,2),0)</f>
        <v>0</v>
      </c>
      <c r="D38" s="36">
        <f t="shared" ref="D38:J38" ca="1" si="11">IF(ISNUMBER(D$5),ROUND(D$26/100*(D$35-D$34)+D$34,2),0)</f>
        <v>0</v>
      </c>
      <c r="E38" s="36">
        <f t="shared" si="11"/>
        <v>0</v>
      </c>
      <c r="F38" s="36">
        <f t="shared" si="11"/>
        <v>0</v>
      </c>
      <c r="G38" s="36">
        <f t="shared" si="11"/>
        <v>0</v>
      </c>
      <c r="H38" s="36">
        <f t="shared" si="11"/>
        <v>0</v>
      </c>
      <c r="I38" s="36">
        <f t="shared" si="11"/>
        <v>0</v>
      </c>
      <c r="J38" s="52">
        <f t="shared" si="11"/>
        <v>0</v>
      </c>
      <c r="K38" s="32"/>
      <c r="L38" s="33"/>
    </row>
    <row r="39" spans="1:12" x14ac:dyDescent="0.3">
      <c r="A39" s="30"/>
      <c r="B39" s="44" t="s">
        <v>21</v>
      </c>
      <c r="C39" s="45">
        <f ca="1">IF(ISNUMBER(C$5),IF(NOT(ISNUMBER(C$27)),C$38,ROUND(C$27/100*(C$37-C$36)+C$36,2)),0)</f>
        <v>0</v>
      </c>
      <c r="D39" s="45">
        <f t="shared" ref="D39:J39" ca="1" si="12">IF(ISNUMBER(D$5),IF(NOT(ISNUMBER(D$27)),D$38,ROUND(D$27/100*(D$37-D$36)+D$36,2)),0)</f>
        <v>0</v>
      </c>
      <c r="E39" s="45">
        <f t="shared" si="12"/>
        <v>0</v>
      </c>
      <c r="F39" s="45">
        <f t="shared" si="12"/>
        <v>0</v>
      </c>
      <c r="G39" s="45">
        <f t="shared" si="12"/>
        <v>0</v>
      </c>
      <c r="H39" s="45">
        <f t="shared" si="12"/>
        <v>0</v>
      </c>
      <c r="I39" s="45">
        <f t="shared" si="12"/>
        <v>0</v>
      </c>
      <c r="J39" s="54">
        <f t="shared" si="12"/>
        <v>0</v>
      </c>
      <c r="K39" s="32"/>
      <c r="L39" s="33"/>
    </row>
    <row r="40" spans="1:12" x14ac:dyDescent="0.3">
      <c r="A40" s="30"/>
      <c r="B40" s="43">
        <v>1</v>
      </c>
      <c r="C40" s="34" cm="1">
        <f t="array" aca="1" ref="C40" ca="1">IFERROR(INDEX($C$38:$J$39, IF(ISODD($B40), 1, 2), MATCH(INT(($B40+1)/2), $C$5:$J$5, 0))-IF(ISEVEN($B40),$C39,0),0)</f>
        <v>0</v>
      </c>
      <c r="D40" s="43" t="s">
        <v>25</v>
      </c>
      <c r="E40" s="50" t="str">
        <f ca="1">IF(C40&lt;&gt;0,IF(ISODD(B40), IF(C41&lt;&gt;0,"At least " &amp; C40*100 &amp; "%", "Exactly " &amp; C40*100 &amp; "%"), "At most " &amp; (C39+C40)*100 &amp; "%"),"")</f>
        <v/>
      </c>
      <c r="F40" s="31"/>
      <c r="G40" s="31"/>
      <c r="H40" s="31"/>
      <c r="I40" s="31"/>
      <c r="J40" s="31"/>
      <c r="K40" s="32"/>
      <c r="L40" s="33"/>
    </row>
    <row r="41" spans="1:12" x14ac:dyDescent="0.3">
      <c r="A41" s="30"/>
      <c r="B41" s="43">
        <v>2</v>
      </c>
      <c r="C41" s="34" cm="1">
        <f t="array" aca="1" ref="C41" ca="1">IFERROR(INDEX($C$38:$J$39, IF(ISODD($B41), 1, 2), MATCH(INT(($B41+1)/2), $C$5:$J$5, 0))-IF(ISEVEN($B41),$C40,0),0)</f>
        <v>0</v>
      </c>
      <c r="D41" s="43" t="s">
        <v>26</v>
      </c>
      <c r="E41" s="50" t="str">
        <f t="shared" ref="E41:E55" ca="1" si="13">IF(C41&lt;&gt;0,IF(ISODD(B41), IF(C42&lt;&gt;0,"At least " &amp; C41*100 &amp; "%", "Exactly " &amp; C41*100 &amp; "%"), "At most " &amp; (C40+C41)*100 &amp; "%"),"")</f>
        <v/>
      </c>
      <c r="F41" s="31"/>
      <c r="G41" s="31"/>
      <c r="H41" s="31"/>
      <c r="I41" s="31"/>
      <c r="J41" s="31"/>
      <c r="K41" s="32"/>
      <c r="L41" s="33"/>
    </row>
    <row r="42" spans="1:12" x14ac:dyDescent="0.3">
      <c r="A42" s="30"/>
      <c r="B42" s="43">
        <v>3</v>
      </c>
      <c r="C42" s="34" cm="1">
        <f t="array" aca="1" ref="C42" ca="1">IFERROR(INDEX($C$38:$J$39, IF(ISODD($B42), 1, 2), MATCH(INT(($B42+1)/2), $C$5:$J$5, 0))-IF(ISEVEN($B42),$C41,0),0)</f>
        <v>0</v>
      </c>
      <c r="D42" s="43" t="s">
        <v>27</v>
      </c>
      <c r="E42" s="50" t="str">
        <f t="shared" ca="1" si="13"/>
        <v/>
      </c>
      <c r="F42" s="31"/>
      <c r="G42" s="31"/>
      <c r="H42" s="31"/>
      <c r="I42" s="31"/>
      <c r="J42" s="31"/>
      <c r="K42" s="32"/>
      <c r="L42" s="33"/>
    </row>
    <row r="43" spans="1:12" x14ac:dyDescent="0.3">
      <c r="A43" s="30"/>
      <c r="B43" s="43">
        <v>4</v>
      </c>
      <c r="C43" s="34" cm="1">
        <f t="array" aca="1" ref="C43" ca="1">IFERROR(INDEX($C$38:$J$39, IF(ISODD($B43), 1, 2), MATCH(INT(($B43+1)/2), $C$5:$J$5, 0))-IF(ISEVEN($B43),$C42,0),0)</f>
        <v>0</v>
      </c>
      <c r="D43" s="43" t="s">
        <v>26</v>
      </c>
      <c r="E43" s="50" t="str">
        <f t="shared" ca="1" si="13"/>
        <v/>
      </c>
      <c r="F43" s="31"/>
      <c r="G43" s="31"/>
      <c r="H43" s="31"/>
      <c r="I43" s="31"/>
      <c r="J43" s="31"/>
      <c r="K43" s="32"/>
      <c r="L43" s="33"/>
    </row>
    <row r="44" spans="1:12" x14ac:dyDescent="0.3">
      <c r="A44" s="30"/>
      <c r="B44" s="43">
        <v>5</v>
      </c>
      <c r="C44" s="34" cm="1">
        <f t="array" ref="C44">IFERROR(INDEX($C$38:$J$39, IF(ISODD($B44), 1, 2), MATCH(INT(($B44+1)/2), $C$5:$J$5, 0))-IF(ISEVEN($B44),$C43,0),0)</f>
        <v>0</v>
      </c>
      <c r="D44" s="43" t="s">
        <v>28</v>
      </c>
      <c r="E44" s="50" t="str">
        <f t="shared" si="13"/>
        <v/>
      </c>
      <c r="F44" s="31"/>
      <c r="G44" s="31"/>
      <c r="H44" s="31"/>
      <c r="I44" s="31"/>
      <c r="J44" s="31"/>
      <c r="K44" s="32"/>
      <c r="L44" s="33"/>
    </row>
    <row r="45" spans="1:12" x14ac:dyDescent="0.3">
      <c r="A45" s="30"/>
      <c r="B45" s="43">
        <v>6</v>
      </c>
      <c r="C45" s="34" cm="1">
        <f t="array" ref="C45">IFERROR(INDEX($C$38:$J$39, IF(ISODD($B45), 1, 2), MATCH(INT(($B45+1)/2), $C$5:$J$5, 0))-IF(ISEVEN($B45),$C44,0),0)</f>
        <v>0</v>
      </c>
      <c r="D45" s="43" t="s">
        <v>29</v>
      </c>
      <c r="E45" s="50" t="str">
        <f t="shared" si="13"/>
        <v/>
      </c>
      <c r="F45" s="31"/>
      <c r="G45" s="31"/>
      <c r="H45" s="31"/>
      <c r="I45" s="31"/>
      <c r="J45" s="31"/>
      <c r="K45" s="32"/>
      <c r="L45" s="33"/>
    </row>
    <row r="46" spans="1:12" x14ac:dyDescent="0.3">
      <c r="A46" s="30"/>
      <c r="B46" s="43">
        <v>7</v>
      </c>
      <c r="C46" s="34" cm="1">
        <f t="array" ref="C46">IFERROR(INDEX($C$38:$J$39, IF(ISODD($B46), 1, 2), MATCH(INT(($B46+1)/2), $C$5:$J$5, 0))-IF(ISEVEN($B46),$C45,0),0)</f>
        <v>0</v>
      </c>
      <c r="D46" s="43" t="s">
        <v>30</v>
      </c>
      <c r="E46" s="50" t="str">
        <f t="shared" si="13"/>
        <v/>
      </c>
      <c r="F46" s="31"/>
      <c r="G46" s="31"/>
      <c r="H46" s="31"/>
      <c r="I46" s="31"/>
      <c r="J46" s="31"/>
      <c r="K46" s="32"/>
      <c r="L46" s="33"/>
    </row>
    <row r="47" spans="1:12" x14ac:dyDescent="0.3">
      <c r="A47" s="30"/>
      <c r="B47" s="43">
        <v>8</v>
      </c>
      <c r="C47" s="34" cm="1">
        <f t="array" ref="C47">IFERROR(INDEX($C$38:$J$39, IF(ISODD($B47), 1, 2), MATCH(INT(($B47+1)/2), $C$5:$J$5, 0))-IF(ISEVEN($B47),$C46,0),0)</f>
        <v>0</v>
      </c>
      <c r="D47" s="43" t="s">
        <v>31</v>
      </c>
      <c r="E47" s="50" t="str">
        <f t="shared" si="13"/>
        <v/>
      </c>
      <c r="F47" s="31"/>
      <c r="G47" s="31"/>
      <c r="H47" s="31"/>
      <c r="I47" s="31"/>
      <c r="J47" s="31"/>
      <c r="K47" s="32"/>
      <c r="L47" s="33"/>
    </row>
    <row r="48" spans="1:12" x14ac:dyDescent="0.3">
      <c r="A48" s="30"/>
      <c r="B48" s="43">
        <v>9</v>
      </c>
      <c r="C48" s="34" cm="1">
        <f t="array" ref="C48">IFERROR(INDEX($C$38:$J$39, IF(ISODD($B48), 1, 2), MATCH(INT(($B48+1)/2), $C$5:$J$5, 0))-IF(ISEVEN($B48),$C47,0),0)</f>
        <v>0</v>
      </c>
      <c r="D48" s="43" t="s">
        <v>32</v>
      </c>
      <c r="E48" s="50" t="str">
        <f t="shared" si="13"/>
        <v/>
      </c>
      <c r="F48" s="31"/>
      <c r="G48" s="31"/>
      <c r="H48" s="31"/>
      <c r="I48" s="31"/>
      <c r="J48" s="31"/>
      <c r="K48" s="32"/>
      <c r="L48" s="33"/>
    </row>
    <row r="49" spans="1:12" x14ac:dyDescent="0.3">
      <c r="A49" s="30"/>
      <c r="B49" s="43">
        <v>10</v>
      </c>
      <c r="C49" s="34" cm="1">
        <f t="array" ref="C49">IFERROR(INDEX($C$38:$J$39, IF(ISODD($B49), 1, 2), MATCH(INT(($B49+1)/2), $C$5:$J$5, 0))-IF(ISEVEN($B49),$C48,0),0)</f>
        <v>0</v>
      </c>
      <c r="D49" s="43" t="s">
        <v>33</v>
      </c>
      <c r="E49" s="50" t="str">
        <f t="shared" si="13"/>
        <v/>
      </c>
      <c r="F49" s="31"/>
      <c r="G49" s="31"/>
      <c r="H49" s="31"/>
      <c r="I49" s="31"/>
      <c r="J49" s="31"/>
      <c r="K49" s="32"/>
      <c r="L49" s="33"/>
    </row>
    <row r="50" spans="1:12" x14ac:dyDescent="0.3">
      <c r="A50" s="30"/>
      <c r="B50" s="43">
        <v>11</v>
      </c>
      <c r="C50" s="34" cm="1">
        <f t="array" ref="C50">IFERROR(INDEX($C$38:$J$39, IF(ISODD($B50), 1, 2), MATCH(INT(($B50+1)/2), $C$5:$J$5, 0))-IF(ISEVEN($B50),$C49,0),0)</f>
        <v>0</v>
      </c>
      <c r="D50" s="43" t="s">
        <v>34</v>
      </c>
      <c r="E50" s="50" t="str">
        <f t="shared" si="13"/>
        <v/>
      </c>
      <c r="F50" s="31"/>
      <c r="G50" s="31"/>
      <c r="H50" s="31"/>
      <c r="I50" s="31"/>
      <c r="J50" s="31"/>
      <c r="K50" s="32"/>
      <c r="L50" s="33"/>
    </row>
    <row r="51" spans="1:12" x14ac:dyDescent="0.3">
      <c r="A51" s="30"/>
      <c r="B51" s="43">
        <v>12</v>
      </c>
      <c r="C51" s="34" cm="1">
        <f t="array" ref="C51">IFERROR(INDEX($C$38:$J$39, IF(ISODD($B51), 1, 2), MATCH(INT(($B51+1)/2), $C$5:$J$5, 0))-IF(ISEVEN($B51),$C50,0),0)</f>
        <v>0</v>
      </c>
      <c r="D51" s="43" t="s">
        <v>35</v>
      </c>
      <c r="E51" s="50" t="str">
        <f t="shared" si="13"/>
        <v/>
      </c>
      <c r="F51" s="31"/>
      <c r="G51" s="31"/>
      <c r="H51" s="31"/>
      <c r="I51" s="31"/>
      <c r="J51" s="31"/>
      <c r="K51" s="32"/>
      <c r="L51" s="33"/>
    </row>
    <row r="52" spans="1:12" x14ac:dyDescent="0.3">
      <c r="A52" s="30"/>
      <c r="B52" s="43">
        <v>13</v>
      </c>
      <c r="C52" s="34" cm="1">
        <f t="array" ref="C52">IFERROR(INDEX($C$38:$J$39, IF(ISODD($B52), 1, 2), MATCH(INT(($B52+1)/2), $C$5:$J$5, 0))-IF(ISEVEN($B52),$C51,0),0)</f>
        <v>0</v>
      </c>
      <c r="D52" s="43" t="s">
        <v>36</v>
      </c>
      <c r="E52" s="50" t="str">
        <f t="shared" si="13"/>
        <v/>
      </c>
      <c r="F52" s="31"/>
      <c r="G52" s="31"/>
      <c r="H52" s="31"/>
      <c r="I52" s="31"/>
      <c r="J52" s="31"/>
      <c r="K52" s="32"/>
      <c r="L52" s="33"/>
    </row>
    <row r="53" spans="1:12" x14ac:dyDescent="0.3">
      <c r="A53" s="30"/>
      <c r="B53" s="43">
        <v>14</v>
      </c>
      <c r="C53" s="34" cm="1">
        <f t="array" ref="C53">IFERROR(INDEX($C$38:$J$39, IF(ISODD($B53), 1, 2), MATCH(INT(($B53+1)/2), $C$5:$J$5, 0))-IF(ISEVEN($B53),$C52,0),0)</f>
        <v>0</v>
      </c>
      <c r="D53" s="43" t="s">
        <v>37</v>
      </c>
      <c r="E53" s="50" t="str">
        <f t="shared" si="13"/>
        <v/>
      </c>
      <c r="F53" s="31"/>
      <c r="G53" s="31"/>
      <c r="H53" s="31"/>
      <c r="I53" s="31"/>
      <c r="J53" s="31"/>
      <c r="K53" s="32"/>
      <c r="L53" s="33"/>
    </row>
    <row r="54" spans="1:12" x14ac:dyDescent="0.3">
      <c r="A54" s="30"/>
      <c r="B54" s="43">
        <v>15</v>
      </c>
      <c r="C54" s="34" cm="1">
        <f t="array" ref="C54">IFERROR(INDEX($C$38:$J$39, IF(ISODD($B54), 1, 2), MATCH(INT(($B54+1)/2), $C$5:$J$5, 0))-IF(ISEVEN($B54),$C53,0),0)</f>
        <v>0</v>
      </c>
      <c r="D54" s="43" t="s">
        <v>38</v>
      </c>
      <c r="E54" s="50" t="str">
        <f t="shared" si="13"/>
        <v/>
      </c>
      <c r="F54" s="31"/>
      <c r="G54" s="31"/>
      <c r="H54" s="31"/>
      <c r="I54" s="31"/>
      <c r="J54" s="31"/>
      <c r="K54" s="32"/>
      <c r="L54" s="33"/>
    </row>
    <row r="55" spans="1:12" x14ac:dyDescent="0.3">
      <c r="A55" s="30"/>
      <c r="B55" s="43">
        <v>16</v>
      </c>
      <c r="C55" s="34" cm="1">
        <f t="array" ref="C55">IFERROR(INDEX($C$38:$J$39, IF(ISODD($B55), 1, 2), MATCH(INT(($B55+1)/2), $C$5:$J$5, 0))-IF(ISEVEN($B55),$C54,0),0)</f>
        <v>0</v>
      </c>
      <c r="D55" s="44" t="s">
        <v>39</v>
      </c>
      <c r="E55" s="71" t="str">
        <f t="shared" si="13"/>
        <v/>
      </c>
      <c r="F55" s="31"/>
      <c r="G55" s="31"/>
      <c r="H55" s="31"/>
      <c r="I55" s="31"/>
      <c r="J55" s="31"/>
      <c r="K55" s="32"/>
      <c r="L55" s="33"/>
    </row>
    <row r="56" spans="1:12" x14ac:dyDescent="0.3">
      <c r="A56" s="30"/>
      <c r="B56" s="43" t="s">
        <v>24</v>
      </c>
      <c r="C56" s="55">
        <f ca="1">MAX(1,SUM($C$40:$C$55))</f>
        <v>1</v>
      </c>
      <c r="D56" s="31"/>
      <c r="E56" s="31"/>
      <c r="F56" s="31"/>
      <c r="G56" s="31"/>
      <c r="H56" s="31"/>
      <c r="I56" s="31"/>
      <c r="J56" s="31"/>
      <c r="K56" s="32"/>
      <c r="L56" s="33"/>
    </row>
    <row r="57" spans="1:12" x14ac:dyDescent="0.3">
      <c r="A57" s="30"/>
      <c r="B57" s="44" t="s">
        <v>40</v>
      </c>
      <c r="C57" s="56">
        <v>1</v>
      </c>
      <c r="D57" s="31"/>
      <c r="E57" s="31"/>
      <c r="F57" s="31"/>
      <c r="G57" s="31"/>
      <c r="H57" s="31"/>
      <c r="I57" s="31"/>
      <c r="J57" s="31"/>
      <c r="K57" s="32"/>
      <c r="L57" s="33"/>
    </row>
    <row r="58" spans="1:12" ht="15" thickBot="1" x14ac:dyDescent="0.35">
      <c r="A58" s="37"/>
      <c r="B58" s="38"/>
      <c r="C58" s="39"/>
      <c r="D58" s="39"/>
      <c r="E58" s="39"/>
      <c r="F58" s="39"/>
      <c r="G58" s="39"/>
      <c r="H58" s="39"/>
      <c r="I58" s="39"/>
      <c r="J58" s="39"/>
      <c r="K58" s="40"/>
      <c r="L58" s="41"/>
    </row>
  </sheetData>
  <phoneticPr fontId="4" type="noConversion"/>
  <conditionalFormatting sqref="C5:J9">
    <cfRule type="expression" dxfId="0" priority="1">
      <formula>NOT(ISNUMBER(C$5))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ScrollBar1">
          <controlPr defaultSize="0" autoLine="0" linkedCell="C26" r:id="rId4">
            <anchor moveWithCells="1">
              <from>
                <xdr:col>2</xdr:col>
                <xdr:colOff>0</xdr:colOff>
                <xdr:row>6</xdr:row>
                <xdr:rowOff>7620</xdr:rowOff>
              </from>
              <to>
                <xdr:col>2</xdr:col>
                <xdr:colOff>1379220</xdr:colOff>
                <xdr:row>7</xdr:row>
                <xdr:rowOff>15240</xdr:rowOff>
              </to>
            </anchor>
          </controlPr>
        </control>
      </mc:Choice>
      <mc:Fallback>
        <control shapeId="1029" r:id="rId3" name="ScrollBar1"/>
      </mc:Fallback>
    </mc:AlternateContent>
    <mc:AlternateContent xmlns:mc="http://schemas.openxmlformats.org/markup-compatibility/2006">
      <mc:Choice Requires="x14">
        <control shapeId="1030" r:id="rId5" name="ScrollBar2">
          <controlPr defaultSize="0" autoLine="0" linkedCell="C27" r:id="rId6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2</xdr:col>
                <xdr:colOff>1379220</xdr:colOff>
                <xdr:row>8</xdr:row>
                <xdr:rowOff>7620</xdr:rowOff>
              </to>
            </anchor>
          </controlPr>
        </control>
      </mc:Choice>
      <mc:Fallback>
        <control shapeId="1030" r:id="rId5" name="ScrollBar2"/>
      </mc:Fallback>
    </mc:AlternateContent>
    <mc:AlternateContent xmlns:mc="http://schemas.openxmlformats.org/markup-compatibility/2006">
      <mc:Choice Requires="x14">
        <control shapeId="1031" r:id="rId7" name="ScrollBar3">
          <controlPr defaultSize="0" autoLine="0" linkedCell="D26" r:id="rId8">
            <anchor moveWithCells="1">
              <from>
                <xdr:col>3</xdr:col>
                <xdr:colOff>7620</xdr:colOff>
                <xdr:row>6</xdr:row>
                <xdr:rowOff>7620</xdr:rowOff>
              </from>
              <to>
                <xdr:col>3</xdr:col>
                <xdr:colOff>1386840</xdr:colOff>
                <xdr:row>7</xdr:row>
                <xdr:rowOff>15240</xdr:rowOff>
              </to>
            </anchor>
          </controlPr>
        </control>
      </mc:Choice>
      <mc:Fallback>
        <control shapeId="1031" r:id="rId7" name="ScrollBar3"/>
      </mc:Fallback>
    </mc:AlternateContent>
    <mc:AlternateContent xmlns:mc="http://schemas.openxmlformats.org/markup-compatibility/2006">
      <mc:Choice Requires="x14">
        <control shapeId="1032" r:id="rId9" name="ScrollBar4">
          <controlPr defaultSize="0" autoLine="0" linkedCell="D27" r:id="rId6">
            <anchor moveWithCells="1">
              <from>
                <xdr:col>3</xdr:col>
                <xdr:colOff>7620</xdr:colOff>
                <xdr:row>7</xdr:row>
                <xdr:rowOff>0</xdr:rowOff>
              </from>
              <to>
                <xdr:col>3</xdr:col>
                <xdr:colOff>1386840</xdr:colOff>
                <xdr:row>8</xdr:row>
                <xdr:rowOff>7620</xdr:rowOff>
              </to>
            </anchor>
          </controlPr>
        </control>
      </mc:Choice>
      <mc:Fallback>
        <control shapeId="1032" r:id="rId9" name="ScrollBar4"/>
      </mc:Fallback>
    </mc:AlternateContent>
    <mc:AlternateContent xmlns:mc="http://schemas.openxmlformats.org/markup-compatibility/2006">
      <mc:Choice Requires="x14">
        <control shapeId="1033" r:id="rId10" name="ScrollBar5">
          <controlPr defaultSize="0" autoLine="0" linkedCell="E26" r:id="rId11">
            <anchor moveWithCells="1">
              <from>
                <xdr:col>4</xdr:col>
                <xdr:colOff>22860</xdr:colOff>
                <xdr:row>6</xdr:row>
                <xdr:rowOff>7620</xdr:rowOff>
              </from>
              <to>
                <xdr:col>4</xdr:col>
                <xdr:colOff>1402080</xdr:colOff>
                <xdr:row>7</xdr:row>
                <xdr:rowOff>15240</xdr:rowOff>
              </to>
            </anchor>
          </controlPr>
        </control>
      </mc:Choice>
      <mc:Fallback>
        <control shapeId="1033" r:id="rId10" name="ScrollBar5"/>
      </mc:Fallback>
    </mc:AlternateContent>
    <mc:AlternateContent xmlns:mc="http://schemas.openxmlformats.org/markup-compatibility/2006">
      <mc:Choice Requires="x14">
        <control shapeId="1034" r:id="rId12" name="ScrollBar6">
          <controlPr defaultSize="0" autoLine="0" linkedCell="E27" r:id="rId6">
            <anchor moveWithCells="1">
              <from>
                <xdr:col>4</xdr:col>
                <xdr:colOff>22860</xdr:colOff>
                <xdr:row>7</xdr:row>
                <xdr:rowOff>0</xdr:rowOff>
              </from>
              <to>
                <xdr:col>4</xdr:col>
                <xdr:colOff>1402080</xdr:colOff>
                <xdr:row>8</xdr:row>
                <xdr:rowOff>7620</xdr:rowOff>
              </to>
            </anchor>
          </controlPr>
        </control>
      </mc:Choice>
      <mc:Fallback>
        <control shapeId="1034" r:id="rId12" name="ScrollBar6"/>
      </mc:Fallback>
    </mc:AlternateContent>
    <mc:AlternateContent xmlns:mc="http://schemas.openxmlformats.org/markup-compatibility/2006">
      <mc:Choice Requires="x14">
        <control shapeId="1035" r:id="rId13" name="ScrollBar7">
          <controlPr defaultSize="0" autoLine="0" linkedCell="F26" r:id="rId14">
            <anchor moveWithCells="1">
              <from>
                <xdr:col>5</xdr:col>
                <xdr:colOff>7620</xdr:colOff>
                <xdr:row>6</xdr:row>
                <xdr:rowOff>7620</xdr:rowOff>
              </from>
              <to>
                <xdr:col>5</xdr:col>
                <xdr:colOff>1386840</xdr:colOff>
                <xdr:row>7</xdr:row>
                <xdr:rowOff>15240</xdr:rowOff>
              </to>
            </anchor>
          </controlPr>
        </control>
      </mc:Choice>
      <mc:Fallback>
        <control shapeId="1035" r:id="rId13" name="ScrollBar7"/>
      </mc:Fallback>
    </mc:AlternateContent>
    <mc:AlternateContent xmlns:mc="http://schemas.openxmlformats.org/markup-compatibility/2006">
      <mc:Choice Requires="x14">
        <control shapeId="1036" r:id="rId15" name="ScrollBar8">
          <controlPr defaultSize="0" autoLine="0" linkedCell="F27" r:id="rId6">
            <anchor moveWithCells="1">
              <from>
                <xdr:col>5</xdr:col>
                <xdr:colOff>7620</xdr:colOff>
                <xdr:row>7</xdr:row>
                <xdr:rowOff>0</xdr:rowOff>
              </from>
              <to>
                <xdr:col>5</xdr:col>
                <xdr:colOff>1386840</xdr:colOff>
                <xdr:row>8</xdr:row>
                <xdr:rowOff>7620</xdr:rowOff>
              </to>
            </anchor>
          </controlPr>
        </control>
      </mc:Choice>
      <mc:Fallback>
        <control shapeId="1036" r:id="rId15" name="ScrollBar8"/>
      </mc:Fallback>
    </mc:AlternateContent>
    <mc:AlternateContent xmlns:mc="http://schemas.openxmlformats.org/markup-compatibility/2006">
      <mc:Choice Requires="x14">
        <control shapeId="1037" r:id="rId16" name="ScrollBar9">
          <controlPr defaultSize="0" autoLine="0" linkedCell="G26" r:id="rId17">
            <anchor moveWithCells="1">
              <from>
                <xdr:col>6</xdr:col>
                <xdr:colOff>7620</xdr:colOff>
                <xdr:row>6</xdr:row>
                <xdr:rowOff>7620</xdr:rowOff>
              </from>
              <to>
                <xdr:col>6</xdr:col>
                <xdr:colOff>1386840</xdr:colOff>
                <xdr:row>7</xdr:row>
                <xdr:rowOff>15240</xdr:rowOff>
              </to>
            </anchor>
          </controlPr>
        </control>
      </mc:Choice>
      <mc:Fallback>
        <control shapeId="1037" r:id="rId16" name="ScrollBar9"/>
      </mc:Fallback>
    </mc:AlternateContent>
    <mc:AlternateContent xmlns:mc="http://schemas.openxmlformats.org/markup-compatibility/2006">
      <mc:Choice Requires="x14">
        <control shapeId="1038" r:id="rId18" name="ScrollBar10">
          <controlPr defaultSize="0" autoLine="0" linkedCell="G27" r:id="rId6">
            <anchor moveWithCells="1">
              <from>
                <xdr:col>6</xdr:col>
                <xdr:colOff>7620</xdr:colOff>
                <xdr:row>7</xdr:row>
                <xdr:rowOff>0</xdr:rowOff>
              </from>
              <to>
                <xdr:col>6</xdr:col>
                <xdr:colOff>1386840</xdr:colOff>
                <xdr:row>8</xdr:row>
                <xdr:rowOff>7620</xdr:rowOff>
              </to>
            </anchor>
          </controlPr>
        </control>
      </mc:Choice>
      <mc:Fallback>
        <control shapeId="1038" r:id="rId18" name="ScrollBar10"/>
      </mc:Fallback>
    </mc:AlternateContent>
    <mc:AlternateContent xmlns:mc="http://schemas.openxmlformats.org/markup-compatibility/2006">
      <mc:Choice Requires="x14">
        <control shapeId="1039" r:id="rId19" name="ScrollBar11">
          <controlPr defaultSize="0" autoLine="0" linkedCell="H26" r:id="rId20">
            <anchor moveWithCells="1">
              <from>
                <xdr:col>7</xdr:col>
                <xdr:colOff>22860</xdr:colOff>
                <xdr:row>6</xdr:row>
                <xdr:rowOff>7620</xdr:rowOff>
              </from>
              <to>
                <xdr:col>7</xdr:col>
                <xdr:colOff>1402080</xdr:colOff>
                <xdr:row>7</xdr:row>
                <xdr:rowOff>15240</xdr:rowOff>
              </to>
            </anchor>
          </controlPr>
        </control>
      </mc:Choice>
      <mc:Fallback>
        <control shapeId="1039" r:id="rId19" name="ScrollBar11"/>
      </mc:Fallback>
    </mc:AlternateContent>
    <mc:AlternateContent xmlns:mc="http://schemas.openxmlformats.org/markup-compatibility/2006">
      <mc:Choice Requires="x14">
        <control shapeId="1040" r:id="rId21" name="ScrollBar12">
          <controlPr defaultSize="0" autoLine="0" linkedCell="H27" r:id="rId6">
            <anchor moveWithCells="1">
              <from>
                <xdr:col>7</xdr:col>
                <xdr:colOff>22860</xdr:colOff>
                <xdr:row>7</xdr:row>
                <xdr:rowOff>0</xdr:rowOff>
              </from>
              <to>
                <xdr:col>7</xdr:col>
                <xdr:colOff>1402080</xdr:colOff>
                <xdr:row>8</xdr:row>
                <xdr:rowOff>7620</xdr:rowOff>
              </to>
            </anchor>
          </controlPr>
        </control>
      </mc:Choice>
      <mc:Fallback>
        <control shapeId="1040" r:id="rId21" name="ScrollBar12"/>
      </mc:Fallback>
    </mc:AlternateContent>
    <mc:AlternateContent xmlns:mc="http://schemas.openxmlformats.org/markup-compatibility/2006">
      <mc:Choice Requires="x14">
        <control shapeId="1041" r:id="rId22" name="ScrollBar13">
          <controlPr defaultSize="0" autoLine="0" linkedCell="I26" r:id="rId23">
            <anchor moveWithCells="1">
              <from>
                <xdr:col>8</xdr:col>
                <xdr:colOff>7620</xdr:colOff>
                <xdr:row>6</xdr:row>
                <xdr:rowOff>7620</xdr:rowOff>
              </from>
              <to>
                <xdr:col>8</xdr:col>
                <xdr:colOff>1386840</xdr:colOff>
                <xdr:row>7</xdr:row>
                <xdr:rowOff>15240</xdr:rowOff>
              </to>
            </anchor>
          </controlPr>
        </control>
      </mc:Choice>
      <mc:Fallback>
        <control shapeId="1041" r:id="rId22" name="ScrollBar13"/>
      </mc:Fallback>
    </mc:AlternateContent>
    <mc:AlternateContent xmlns:mc="http://schemas.openxmlformats.org/markup-compatibility/2006">
      <mc:Choice Requires="x14">
        <control shapeId="1042" r:id="rId24" name="ScrollBar14">
          <controlPr defaultSize="0" autoLine="0" linkedCell="I27" r:id="rId6">
            <anchor moveWithCells="1">
              <from>
                <xdr:col>8</xdr:col>
                <xdr:colOff>7620</xdr:colOff>
                <xdr:row>7</xdr:row>
                <xdr:rowOff>0</xdr:rowOff>
              </from>
              <to>
                <xdr:col>8</xdr:col>
                <xdr:colOff>1386840</xdr:colOff>
                <xdr:row>8</xdr:row>
                <xdr:rowOff>7620</xdr:rowOff>
              </to>
            </anchor>
          </controlPr>
        </control>
      </mc:Choice>
      <mc:Fallback>
        <control shapeId="1042" r:id="rId24" name="ScrollBar14"/>
      </mc:Fallback>
    </mc:AlternateContent>
    <mc:AlternateContent xmlns:mc="http://schemas.openxmlformats.org/markup-compatibility/2006">
      <mc:Choice Requires="x14">
        <control shapeId="1044" r:id="rId25" name="ScrollBar15">
          <controlPr defaultSize="0" autoLine="0" linkedCell="J26" r:id="rId26">
            <anchor moveWithCells="1">
              <from>
                <xdr:col>9</xdr:col>
                <xdr:colOff>7620</xdr:colOff>
                <xdr:row>6</xdr:row>
                <xdr:rowOff>7620</xdr:rowOff>
              </from>
              <to>
                <xdr:col>9</xdr:col>
                <xdr:colOff>1386840</xdr:colOff>
                <xdr:row>7</xdr:row>
                <xdr:rowOff>15240</xdr:rowOff>
              </to>
            </anchor>
          </controlPr>
        </control>
      </mc:Choice>
      <mc:Fallback>
        <control shapeId="1044" r:id="rId25" name="ScrollBar15"/>
      </mc:Fallback>
    </mc:AlternateContent>
    <mc:AlternateContent xmlns:mc="http://schemas.openxmlformats.org/markup-compatibility/2006">
      <mc:Choice Requires="x14">
        <control shapeId="1045" r:id="rId27" name="ScrollBar16">
          <controlPr defaultSize="0" autoLine="0" linkedCell="J27" r:id="rId6">
            <anchor moveWithCells="1">
              <from>
                <xdr:col>9</xdr:col>
                <xdr:colOff>7620</xdr:colOff>
                <xdr:row>7</xdr:row>
                <xdr:rowOff>0</xdr:rowOff>
              </from>
              <to>
                <xdr:col>9</xdr:col>
                <xdr:colOff>1386840</xdr:colOff>
                <xdr:row>8</xdr:row>
                <xdr:rowOff>7620</xdr:rowOff>
              </to>
            </anchor>
          </controlPr>
        </control>
      </mc:Choice>
      <mc:Fallback>
        <control shapeId="1045" r:id="rId27" name="ScrollBar16"/>
      </mc:Fallback>
    </mc:AlternateContent>
    <mc:AlternateContent xmlns:mc="http://schemas.openxmlformats.org/markup-compatibility/2006">
      <mc:Choice Requires="x14">
        <control shapeId="1054" r:id="rId28" name="CommandButton3">
          <controlPr defaultSize="0" autoLine="0" r:id="rId29">
            <anchor moveWithCells="1">
              <from>
                <xdr:col>10</xdr:col>
                <xdr:colOff>502920</xdr:colOff>
                <xdr:row>6</xdr:row>
                <xdr:rowOff>0</xdr:rowOff>
              </from>
              <to>
                <xdr:col>11</xdr:col>
                <xdr:colOff>906780</xdr:colOff>
                <xdr:row>8</xdr:row>
                <xdr:rowOff>15240</xdr:rowOff>
              </to>
            </anchor>
          </controlPr>
        </control>
      </mc:Choice>
      <mc:Fallback>
        <control shapeId="1054" r:id="rId28" name="CommandButton3"/>
      </mc:Fallback>
    </mc:AlternateContent>
    <mc:AlternateContent xmlns:mc="http://schemas.openxmlformats.org/markup-compatibility/2006">
      <mc:Choice Requires="x14">
        <control shapeId="1055" r:id="rId30" name="CommandButton2">
          <controlPr defaultSize="0" autoLine="0" r:id="rId31">
            <anchor moveWithCells="1">
              <from>
                <xdr:col>10</xdr:col>
                <xdr:colOff>502920</xdr:colOff>
                <xdr:row>7</xdr:row>
                <xdr:rowOff>45720</xdr:rowOff>
              </from>
              <to>
                <xdr:col>11</xdr:col>
                <xdr:colOff>891540</xdr:colOff>
                <xdr:row>9</xdr:row>
                <xdr:rowOff>60960</xdr:rowOff>
              </to>
            </anchor>
          </controlPr>
        </control>
      </mc:Choice>
      <mc:Fallback>
        <control shapeId="1055" r:id="rId30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C23F34-814D-4072-8A99-141224CFD1D8}">
          <x14:formula1>
            <xm:f>List!$A$1:$A$8</xm:f>
          </x14:formula1>
          <xm:sqref>C3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Main</vt:lpstr>
      <vt:lpstr>Process1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Weijenberg, N.H.H. (Norbert)</dc:creator>
  <cp:lastModifiedBy>Weijenberg, N.H.H. (Norbert)</cp:lastModifiedBy>
  <dcterms:created xsi:type="dcterms:W3CDTF">2025-06-04T07:16:57Z</dcterms:created>
  <dcterms:modified xsi:type="dcterms:W3CDTF">2025-08-06T12:21:59Z</dcterms:modified>
</cp:coreProperties>
</file>