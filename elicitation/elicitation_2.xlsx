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https://365tno-my.sharepoint.com/personal/norbert_weijenberg_tno_nl/Documents/Post midterm/Revised thesis v2/emfma_case_study/elicitation (all)/"/>
    </mc:Choice>
  </mc:AlternateContent>
  <xr:revisionPtr revIDLastSave="111" documentId="8_{CC0CFD16-3605-46F0-BC6B-74B199721271}" xr6:coauthVersionLast="47" xr6:coauthVersionMax="47" xr10:uidLastSave="{449D1A04-02C8-4F5A-8F13-1ED2B242BCF9}"/>
  <workbookProtection workbookAlgorithmName="SHA-512" workbookHashValue="e5RqOx7c2I7w5D8jwxNGxw7mLn+i115ZEQVLUSPaBUt0dP+VLG0crTQiBpI3iaJ6qPji7TIofEZH4c7aoh32VA==" workbookSaltValue="ZAjfZX2F9lTAE7/N5X6vQA==" workbookSpinCount="100000" lockStructure="1"/>
  <bookViews>
    <workbookView xWindow="-120" yWindow="-120" windowWidth="29040" windowHeight="15720" activeTab="1" xr2:uid="{B0E310A2-E970-4CDD-A363-7873544079C3}"/>
  </bookViews>
  <sheets>
    <sheet name="instructions" sheetId="7" r:id="rId1"/>
    <sheet name="questions" sheetId="1" r:id="rId2"/>
    <sheet name="list" sheetId="4" state="hidden"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8" i="1" l="1"/>
  <c r="F261" i="1" l="1"/>
  <c r="F260" i="1"/>
  <c r="F259" i="1"/>
  <c r="F258" i="1"/>
  <c r="F257" i="1"/>
  <c r="F256" i="1"/>
  <c r="F255" i="1"/>
  <c r="F254" i="1"/>
  <c r="F253" i="1"/>
  <c r="F252" i="1"/>
  <c r="F251" i="1"/>
  <c r="F250" i="1"/>
  <c r="F249" i="1"/>
  <c r="F248" i="1"/>
  <c r="F247" i="1"/>
  <c r="F246" i="1"/>
  <c r="F245" i="1"/>
  <c r="F244" i="1"/>
  <c r="F243" i="1"/>
  <c r="F242" i="1"/>
  <c r="F231" i="1" s="1"/>
  <c r="F241" i="1"/>
  <c r="F240" i="1"/>
  <c r="F239" i="1"/>
  <c r="F238" i="1"/>
  <c r="F237" i="1"/>
  <c r="F236" i="1"/>
  <c r="F234" i="1"/>
  <c r="F233" i="1"/>
  <c r="F232" i="1"/>
  <c r="F230" i="1"/>
  <c r="F229" i="1"/>
  <c r="F228" i="1"/>
  <c r="F227" i="1"/>
  <c r="F226" i="1"/>
  <c r="F225" i="1"/>
  <c r="F224" i="1"/>
  <c r="J223" i="1"/>
  <c r="F223" i="1"/>
  <c r="J222" i="1"/>
  <c r="F222" i="1"/>
  <c r="J221" i="1"/>
  <c r="F221" i="1"/>
  <c r="J220" i="1"/>
  <c r="F220" i="1"/>
  <c r="J219" i="1"/>
  <c r="F219" i="1"/>
  <c r="J218" i="1"/>
  <c r="F218" i="1"/>
  <c r="J217" i="1"/>
  <c r="F217" i="1"/>
  <c r="J215" i="1"/>
  <c r="J214" i="1"/>
  <c r="J213" i="1"/>
  <c r="J212" i="1"/>
  <c r="J211" i="1"/>
  <c r="J210" i="1"/>
  <c r="J209" i="1"/>
  <c r="J208" i="1"/>
  <c r="J207" i="1"/>
  <c r="J206" i="1"/>
  <c r="J205" i="1"/>
  <c r="J204" i="1"/>
  <c r="J203" i="1"/>
  <c r="J202" i="1"/>
  <c r="J201" i="1"/>
  <c r="J200" i="1"/>
  <c r="J198" i="1"/>
  <c r="J197" i="1"/>
  <c r="J196" i="1"/>
  <c r="J195" i="1"/>
  <c r="J194" i="1"/>
  <c r="J193" i="1"/>
  <c r="J192" i="1"/>
  <c r="J191" i="1"/>
  <c r="J190" i="1"/>
  <c r="J189" i="1"/>
  <c r="E261" i="1"/>
  <c r="E260" i="1"/>
  <c r="E259" i="1"/>
  <c r="E258" i="1"/>
  <c r="E257" i="1"/>
  <c r="E256" i="1"/>
  <c r="E255" i="1"/>
  <c r="E254" i="1"/>
  <c r="E253" i="1"/>
  <c r="E252" i="1"/>
  <c r="E251" i="1"/>
  <c r="E250" i="1"/>
  <c r="E249" i="1"/>
  <c r="E248" i="1"/>
  <c r="E247" i="1"/>
  <c r="E246" i="1"/>
  <c r="E245" i="1"/>
  <c r="E244" i="1"/>
  <c r="E243" i="1"/>
  <c r="E242" i="1"/>
  <c r="E231" i="1" s="1"/>
  <c r="E241" i="1"/>
  <c r="E240" i="1"/>
  <c r="E239" i="1"/>
  <c r="E238" i="1"/>
  <c r="E237" i="1"/>
  <c r="E236" i="1"/>
  <c r="E234" i="1"/>
  <c r="E233" i="1"/>
  <c r="E232" i="1"/>
  <c r="E230" i="1"/>
  <c r="E229" i="1"/>
  <c r="E228" i="1"/>
  <c r="E227" i="1"/>
  <c r="E226" i="1"/>
  <c r="E225" i="1"/>
  <c r="E224" i="1"/>
  <c r="E223" i="1"/>
  <c r="E222" i="1"/>
  <c r="E221" i="1"/>
  <c r="E220" i="1"/>
  <c r="E219" i="1"/>
  <c r="E218" i="1"/>
  <c r="E217" i="1"/>
  <c r="G161" i="1" l="1"/>
  <c r="G166" i="1"/>
  <c r="G172" i="1"/>
  <c r="H81" i="1"/>
  <c r="G81" i="1"/>
  <c r="I111" i="1"/>
  <c r="I258" i="1" s="1"/>
  <c r="G99" i="1"/>
  <c r="G92" i="1"/>
  <c r="G87" i="1"/>
  <c r="G75" i="1"/>
  <c r="G71" i="1"/>
  <c r="G67" i="1"/>
  <c r="G63" i="1"/>
  <c r="G59" i="1"/>
  <c r="G54" i="1"/>
  <c r="G49" i="1"/>
  <c r="G43" i="1"/>
  <c r="G36" i="1"/>
  <c r="G25" i="1"/>
  <c r="G17" i="1"/>
  <c r="G10" i="1"/>
  <c r="I59" i="1"/>
  <c r="H59" i="1"/>
  <c r="H36" i="1"/>
  <c r="D11" i="7" a="1"/>
  <c r="D14" i="7" a="1"/>
  <c r="D15" i="7" a="1"/>
  <c r="D16" i="7" a="1"/>
  <c r="D17" i="7" a="1"/>
  <c r="D18" i="7" a="1"/>
  <c r="D13" i="7" a="1"/>
  <c r="D12" i="7" a="1"/>
  <c r="H225" i="1" l="1"/>
  <c r="H224" i="1"/>
  <c r="H226" i="1"/>
  <c r="H82" i="1"/>
  <c r="H83" i="1" s="1"/>
  <c r="H232" i="1"/>
  <c r="H233" i="1"/>
  <c r="H234" i="1"/>
  <c r="G82" i="1"/>
  <c r="G83" i="1" s="1"/>
  <c r="G234" i="1"/>
  <c r="G233" i="1"/>
  <c r="G232" i="1"/>
  <c r="G225" i="1"/>
  <c r="J225" i="1" s="1"/>
  <c r="G224" i="1"/>
  <c r="G226" i="1"/>
  <c r="I226" i="1"/>
  <c r="I225" i="1"/>
  <c r="I224" i="1"/>
  <c r="J224" i="1" s="1"/>
  <c r="G228" i="1"/>
  <c r="G227" i="1"/>
  <c r="G231" i="1"/>
  <c r="G229" i="1"/>
  <c r="G230" i="1"/>
  <c r="G151" i="1"/>
  <c r="G103" i="1"/>
  <c r="G140" i="1"/>
  <c r="I177" i="1"/>
  <c r="I178" i="1" s="1"/>
  <c r="I179" i="1" s="1"/>
  <c r="I180" i="1" s="1"/>
  <c r="I181" i="1" s="1"/>
  <c r="G177" i="1"/>
  <c r="G178" i="1" s="1"/>
  <c r="G179" i="1" s="1"/>
  <c r="G180" i="1" s="1"/>
  <c r="G181" i="1" s="1"/>
  <c r="H182" i="1"/>
  <c r="H146" i="1"/>
  <c r="G182" i="1"/>
  <c r="G146" i="1"/>
  <c r="I146" i="1"/>
  <c r="D12" i="7"/>
  <c r="D18" i="7"/>
  <c r="D17" i="7"/>
  <c r="D16" i="7"/>
  <c r="D15" i="7"/>
  <c r="D14" i="7"/>
  <c r="D13" i="7"/>
  <c r="D11" i="7"/>
  <c r="J59" i="1"/>
  <c r="J226" i="1" l="1"/>
  <c r="J146" i="1"/>
  <c r="I49" i="1"/>
  <c r="I50" i="1" s="1"/>
  <c r="I51" i="1" s="1"/>
  <c r="H49" i="1"/>
  <c r="H50" i="1" s="1"/>
  <c r="H51" i="1" s="1"/>
  <c r="G50" i="1"/>
  <c r="G51" i="1" s="1"/>
  <c r="G52" i="1" s="1"/>
  <c r="G53" i="1" s="1"/>
  <c r="E33" i="7"/>
  <c r="E32" i="7"/>
  <c r="E31" i="7"/>
  <c r="E29" i="7"/>
  <c r="E28" i="7" s="1"/>
  <c r="D10" i="7" a="1"/>
  <c r="D10" i="7" l="1"/>
  <c r="J49" i="1"/>
  <c r="J50" i="1" s="1"/>
  <c r="J51" i="1" s="1"/>
  <c r="E30" i="7"/>
  <c r="A1" i="1" a="1"/>
  <c r="A1" i="1" l="1"/>
  <c r="I4" i="1" l="1"/>
  <c r="I237" i="1" s="1"/>
  <c r="G111" i="1" l="1"/>
  <c r="G258" i="1" s="1"/>
  <c r="G29" i="1"/>
  <c r="G246" i="1" s="1"/>
  <c r="G97" i="1"/>
  <c r="G243" i="1" s="1"/>
  <c r="G85" i="1" l="1"/>
  <c r="G242" i="1" s="1"/>
  <c r="G167" i="1" l="1"/>
  <c r="G168" i="1" s="1"/>
  <c r="G169" i="1" s="1"/>
  <c r="G170" i="1" s="1"/>
  <c r="G171" i="1" s="1"/>
  <c r="G44" i="1"/>
  <c r="G45" i="1" s="1"/>
  <c r="G46" i="1" s="1"/>
  <c r="G47" i="1" s="1"/>
  <c r="G37" i="1"/>
  <c r="G38" i="1" s="1"/>
  <c r="G39" i="1" s="1"/>
  <c r="G40" i="1" s="1"/>
  <c r="G183" i="1"/>
  <c r="G184" i="1" s="1"/>
  <c r="G185" i="1" s="1"/>
  <c r="G186" i="1" s="1"/>
  <c r="G187" i="1" s="1"/>
  <c r="H25" i="1"/>
  <c r="G147" i="1"/>
  <c r="G148" i="1" s="1"/>
  <c r="G149" i="1" s="1"/>
  <c r="G150" i="1" s="1"/>
  <c r="G173" i="1"/>
  <c r="G174" i="1" s="1"/>
  <c r="G175" i="1" s="1"/>
  <c r="G176" i="1" s="1"/>
  <c r="H43" i="1"/>
  <c r="H44" i="1" s="1"/>
  <c r="H45" i="1" s="1"/>
  <c r="H46" i="1" s="1"/>
  <c r="H47" i="1" s="1"/>
  <c r="H92" i="1"/>
  <c r="H87" i="1"/>
  <c r="H103" i="1"/>
  <c r="H104" i="1" s="1"/>
  <c r="H105" i="1" s="1"/>
  <c r="H106" i="1" s="1"/>
  <c r="H107" i="1" s="1"/>
  <c r="H63" i="1"/>
  <c r="H71" i="1"/>
  <c r="H151" i="1"/>
  <c r="H75" i="1"/>
  <c r="H177" i="1"/>
  <c r="H178" i="1" s="1"/>
  <c r="H179" i="1" s="1"/>
  <c r="H180" i="1" s="1"/>
  <c r="H181" i="1" s="1"/>
  <c r="H10" i="1"/>
  <c r="H99" i="1"/>
  <c r="H161" i="1"/>
  <c r="H162" i="1" s="1"/>
  <c r="H163" i="1" s="1"/>
  <c r="H164" i="1" s="1"/>
  <c r="H147" i="1"/>
  <c r="H148" i="1" s="1"/>
  <c r="H149" i="1" s="1"/>
  <c r="H150" i="1" s="1"/>
  <c r="H172" i="1"/>
  <c r="H173" i="1" s="1"/>
  <c r="H174" i="1" s="1"/>
  <c r="H175" i="1" s="1"/>
  <c r="H176" i="1" s="1"/>
  <c r="H17" i="1"/>
  <c r="H37" i="1"/>
  <c r="H38" i="1" s="1"/>
  <c r="H39" i="1" s="1"/>
  <c r="H40" i="1" s="1"/>
  <c r="H140" i="1"/>
  <c r="H54" i="1"/>
  <c r="H67" i="1"/>
  <c r="H166" i="1"/>
  <c r="H167" i="1" s="1"/>
  <c r="H168" i="1" s="1"/>
  <c r="H169" i="1" s="1"/>
  <c r="H170" i="1" s="1"/>
  <c r="H171" i="1" s="1"/>
  <c r="I182" i="1"/>
  <c r="I172" i="1"/>
  <c r="I173" i="1" s="1"/>
  <c r="I174" i="1" s="1"/>
  <c r="I175" i="1" s="1"/>
  <c r="I176" i="1" s="1"/>
  <c r="I166" i="1"/>
  <c r="I167" i="1" s="1"/>
  <c r="I168" i="1" s="1"/>
  <c r="I169" i="1" s="1"/>
  <c r="I170" i="1" s="1"/>
  <c r="I171" i="1" s="1"/>
  <c r="I151" i="1"/>
  <c r="I152" i="1" s="1"/>
  <c r="I153" i="1" s="1"/>
  <c r="I154" i="1" s="1"/>
  <c r="I155" i="1" s="1"/>
  <c r="I156" i="1" s="1"/>
  <c r="I140" i="1"/>
  <c r="I141" i="1" s="1"/>
  <c r="I142" i="1" s="1"/>
  <c r="I143" i="1" s="1"/>
  <c r="I144" i="1" s="1"/>
  <c r="I145" i="1" s="1"/>
  <c r="I81" i="1"/>
  <c r="I75" i="1"/>
  <c r="I76" i="1" s="1"/>
  <c r="I77" i="1" s="1"/>
  <c r="I79" i="1" s="1"/>
  <c r="I71" i="1"/>
  <c r="I72" i="1" s="1"/>
  <c r="I73" i="1" s="1"/>
  <c r="I74" i="1" s="1"/>
  <c r="I67" i="1"/>
  <c r="I68" i="1" s="1"/>
  <c r="I69" i="1" s="1"/>
  <c r="I70" i="1" s="1"/>
  <c r="I63" i="1"/>
  <c r="I64" i="1" s="1"/>
  <c r="I65" i="1" s="1"/>
  <c r="I66" i="1" s="1"/>
  <c r="I103" i="1"/>
  <c r="I104" i="1" s="1"/>
  <c r="I105" i="1" s="1"/>
  <c r="I106" i="1" s="1"/>
  <c r="I107" i="1" s="1"/>
  <c r="I108" i="1"/>
  <c r="I244" i="1" s="1"/>
  <c r="I161" i="1"/>
  <c r="I162" i="1" s="1"/>
  <c r="I163" i="1" s="1"/>
  <c r="I164" i="1" s="1"/>
  <c r="I99" i="1"/>
  <c r="I92" i="1"/>
  <c r="I93" i="1" s="1"/>
  <c r="I94" i="1" s="1"/>
  <c r="I95" i="1" s="1"/>
  <c r="I96" i="1" s="1"/>
  <c r="I52" i="1"/>
  <c r="I53" i="1" s="1"/>
  <c r="I54" i="1"/>
  <c r="I87" i="1"/>
  <c r="I43" i="1"/>
  <c r="I44" i="1" s="1"/>
  <c r="I45" i="1" s="1"/>
  <c r="I46" i="1" s="1"/>
  <c r="I47" i="1" s="1"/>
  <c r="I36" i="1"/>
  <c r="I37" i="1" s="1"/>
  <c r="I38" i="1" s="1"/>
  <c r="I39" i="1" s="1"/>
  <c r="I40" i="1" s="1"/>
  <c r="I25" i="1"/>
  <c r="I26" i="1" s="1"/>
  <c r="I27" i="1" s="1"/>
  <c r="I28" i="1" s="1"/>
  <c r="I17" i="1"/>
  <c r="I10" i="1"/>
  <c r="I157" i="1"/>
  <c r="I260" i="1" s="1"/>
  <c r="I138" i="1"/>
  <c r="I261" i="1" s="1"/>
  <c r="I135" i="1"/>
  <c r="I259" i="1" s="1"/>
  <c r="I133" i="1"/>
  <c r="I247" i="1" s="1"/>
  <c r="I131" i="1"/>
  <c r="I248" i="1" s="1"/>
  <c r="I129" i="1"/>
  <c r="I249" i="1" s="1"/>
  <c r="I127" i="1"/>
  <c r="I250" i="1" s="1"/>
  <c r="I125" i="1"/>
  <c r="I251" i="1" s="1"/>
  <c r="I123" i="1"/>
  <c r="I252" i="1" s="1"/>
  <c r="I121" i="1"/>
  <c r="I253" i="1" s="1"/>
  <c r="I119" i="1"/>
  <c r="I254" i="1" s="1"/>
  <c r="I117" i="1"/>
  <c r="I255" i="1" s="1"/>
  <c r="I115" i="1"/>
  <c r="I256" i="1" s="1"/>
  <c r="I113" i="1"/>
  <c r="I257" i="1" s="1"/>
  <c r="I85" i="1"/>
  <c r="I242" i="1" s="1"/>
  <c r="I31" i="1"/>
  <c r="I236" i="1" s="1"/>
  <c r="I159" i="1"/>
  <c r="I245" i="1" s="1"/>
  <c r="I97" i="1"/>
  <c r="I243" i="1" s="1"/>
  <c r="I41" i="1"/>
  <c r="I241" i="1" s="1"/>
  <c r="I34" i="1"/>
  <c r="I240" i="1" s="1"/>
  <c r="I29" i="1"/>
  <c r="I246" i="1" s="1"/>
  <c r="I8" i="1"/>
  <c r="I239" i="1" s="1"/>
  <c r="I6" i="1"/>
  <c r="I238" i="1" s="1"/>
  <c r="G41" i="1"/>
  <c r="G241" i="1" s="1"/>
  <c r="G108" i="1"/>
  <c r="G244" i="1" s="1"/>
  <c r="G104" i="1"/>
  <c r="G105" i="1" s="1"/>
  <c r="G106" i="1" s="1"/>
  <c r="G107" i="1" s="1"/>
  <c r="I82" i="1" l="1"/>
  <c r="I83" i="1" s="1"/>
  <c r="I232" i="1"/>
  <c r="J232" i="1" s="1"/>
  <c r="I233" i="1"/>
  <c r="J233" i="1" s="1"/>
  <c r="I234" i="1"/>
  <c r="J234" i="1" s="1"/>
  <c r="H228" i="1"/>
  <c r="H229" i="1"/>
  <c r="H231" i="1"/>
  <c r="J231" i="1" s="1"/>
  <c r="H230" i="1"/>
  <c r="H227" i="1"/>
  <c r="J227" i="1" s="1"/>
  <c r="I229" i="1"/>
  <c r="I228" i="1"/>
  <c r="I230" i="1"/>
  <c r="I227" i="1"/>
  <c r="I231" i="1"/>
  <c r="I160" i="1"/>
  <c r="I158" i="1"/>
  <c r="I147" i="1"/>
  <c r="I148" i="1" s="1"/>
  <c r="I149" i="1" s="1"/>
  <c r="I150" i="1" s="1"/>
  <c r="I60" i="1"/>
  <c r="I61" i="1" s="1"/>
  <c r="I62" i="1" s="1"/>
  <c r="J36" i="1"/>
  <c r="G31" i="1"/>
  <c r="G236" i="1" s="1"/>
  <c r="H31" i="1"/>
  <c r="H236" i="1" s="1"/>
  <c r="J236" i="1" s="1"/>
  <c r="J17" i="1"/>
  <c r="J18" i="1" s="1"/>
  <c r="J19" i="1" s="1"/>
  <c r="J20" i="1" s="1"/>
  <c r="J21" i="1" s="1"/>
  <c r="J22" i="1" s="1"/>
  <c r="J23" i="1" s="1"/>
  <c r="J24" i="1" s="1"/>
  <c r="J172" i="1"/>
  <c r="J173" i="1" s="1"/>
  <c r="J174" i="1" s="1"/>
  <c r="J175" i="1" s="1"/>
  <c r="J176" i="1" s="1"/>
  <c r="J166" i="1"/>
  <c r="J167" i="1" s="1"/>
  <c r="J168" i="1" s="1"/>
  <c r="J169" i="1" s="1"/>
  <c r="J170" i="1" s="1"/>
  <c r="J171" i="1" s="1"/>
  <c r="J182" i="1"/>
  <c r="J183" i="1" s="1"/>
  <c r="J184" i="1" s="1"/>
  <c r="J185" i="1" s="1"/>
  <c r="J186" i="1" s="1"/>
  <c r="J187" i="1" s="1"/>
  <c r="J147" i="1"/>
  <c r="J148" i="1" s="1"/>
  <c r="J149" i="1" s="1"/>
  <c r="I183" i="1"/>
  <c r="I184" i="1" s="1"/>
  <c r="I185" i="1" s="1"/>
  <c r="I186" i="1" s="1"/>
  <c r="I187" i="1" s="1"/>
  <c r="J177" i="1"/>
  <c r="J178" i="1" s="1"/>
  <c r="J179" i="1" s="1"/>
  <c r="J180" i="1" s="1"/>
  <c r="J181" i="1" s="1"/>
  <c r="J140" i="1"/>
  <c r="I55" i="1"/>
  <c r="I57" i="1" s="1"/>
  <c r="I88" i="1"/>
  <c r="I89" i="1" s="1"/>
  <c r="I90" i="1" s="1"/>
  <c r="J103" i="1"/>
  <c r="J104" i="1" s="1"/>
  <c r="J105" i="1" s="1"/>
  <c r="J106" i="1" s="1"/>
  <c r="J107" i="1" s="1"/>
  <c r="I100" i="1"/>
  <c r="I101" i="1" s="1"/>
  <c r="I102" i="1" s="1"/>
  <c r="I11" i="1"/>
  <c r="I12" i="1" s="1"/>
  <c r="I13" i="1" s="1"/>
  <c r="I14" i="1" s="1"/>
  <c r="I15" i="1" s="1"/>
  <c r="I16" i="1" s="1"/>
  <c r="H183" i="1"/>
  <c r="H184" i="1" s="1"/>
  <c r="H185" i="1" s="1"/>
  <c r="H186" i="1" s="1"/>
  <c r="H187" i="1" s="1"/>
  <c r="I32" i="1"/>
  <c r="I18" i="1"/>
  <c r="G18" i="1"/>
  <c r="H18" i="1"/>
  <c r="I19" i="1" s="1"/>
  <c r="J228" i="1" l="1"/>
  <c r="J230" i="1"/>
  <c r="J229" i="1"/>
  <c r="G19" i="1"/>
  <c r="H19" i="1"/>
  <c r="I20" i="1" s="1"/>
  <c r="J37" i="1"/>
  <c r="J38" i="1" s="1"/>
  <c r="J39" i="1" s="1"/>
  <c r="J40" i="1" s="1"/>
  <c r="J31" i="1"/>
  <c r="G20" i="1" l="1"/>
  <c r="H20" i="1"/>
  <c r="I21" i="1" s="1"/>
  <c r="G135" i="1"/>
  <c r="G259" i="1" s="1"/>
  <c r="H76" i="1"/>
  <c r="H77" i="1" s="1"/>
  <c r="H79" i="1" s="1"/>
  <c r="H32" i="1"/>
  <c r="G157" i="1"/>
  <c r="G260" i="1" s="1"/>
  <c r="H138" i="1"/>
  <c r="H261" i="1" s="1"/>
  <c r="G138" i="1"/>
  <c r="G261" i="1" s="1"/>
  <c r="G133" i="1"/>
  <c r="G247" i="1" s="1"/>
  <c r="G131" i="1"/>
  <c r="G248" i="1" s="1"/>
  <c r="H129" i="1"/>
  <c r="H249" i="1" s="1"/>
  <c r="G129" i="1"/>
  <c r="G249" i="1" s="1"/>
  <c r="H127" i="1"/>
  <c r="H250" i="1" s="1"/>
  <c r="G127" i="1"/>
  <c r="G250" i="1" s="1"/>
  <c r="H125" i="1"/>
  <c r="H251" i="1" s="1"/>
  <c r="G125" i="1"/>
  <c r="G251" i="1" s="1"/>
  <c r="H123" i="1"/>
  <c r="H252" i="1" s="1"/>
  <c r="G121" i="1"/>
  <c r="G253" i="1" s="1"/>
  <c r="H119" i="1"/>
  <c r="H254" i="1" s="1"/>
  <c r="G119" i="1"/>
  <c r="G254" i="1" s="1"/>
  <c r="H117" i="1"/>
  <c r="H255" i="1" s="1"/>
  <c r="G117" i="1"/>
  <c r="G255" i="1" s="1"/>
  <c r="G115" i="1"/>
  <c r="G256" i="1" s="1"/>
  <c r="H113" i="1"/>
  <c r="H257" i="1" s="1"/>
  <c r="J257" i="1" s="1"/>
  <c r="G113" i="1"/>
  <c r="G257" i="1" s="1"/>
  <c r="H111" i="1"/>
  <c r="H258" i="1" s="1"/>
  <c r="J258" i="1" s="1"/>
  <c r="H29" i="1"/>
  <c r="H246" i="1" s="1"/>
  <c r="J246" i="1" s="1"/>
  <c r="G159" i="1"/>
  <c r="G245" i="1" s="1"/>
  <c r="H108" i="1"/>
  <c r="H244" i="1" s="1"/>
  <c r="J244" i="1" s="1"/>
  <c r="H85" i="1"/>
  <c r="H242" i="1" s="1"/>
  <c r="J242" i="1" s="1"/>
  <c r="H88" i="1"/>
  <c r="H89" i="1" s="1"/>
  <c r="H90" i="1" s="1"/>
  <c r="G34" i="1"/>
  <c r="G240" i="1" s="1"/>
  <c r="G8" i="1"/>
  <c r="G239" i="1" s="1"/>
  <c r="H6" i="1"/>
  <c r="H238" i="1" s="1"/>
  <c r="G6" i="1"/>
  <c r="G238" i="1" s="1"/>
  <c r="G4" i="1"/>
  <c r="G237" i="1" s="1"/>
  <c r="H152" i="1"/>
  <c r="H153" i="1" s="1"/>
  <c r="H154" i="1" s="1"/>
  <c r="H155" i="1" s="1"/>
  <c r="H156" i="1" s="1"/>
  <c r="H11" i="1"/>
  <c r="H12" i="1" s="1"/>
  <c r="H13" i="1" s="1"/>
  <c r="H14" i="1" s="1"/>
  <c r="H15" i="1" s="1"/>
  <c r="H16" i="1" s="1"/>
  <c r="H26" i="1"/>
  <c r="H27" i="1" s="1"/>
  <c r="H28" i="1" s="1"/>
  <c r="H52" i="1"/>
  <c r="H53" i="1" s="1"/>
  <c r="H93" i="1"/>
  <c r="H94" i="1" s="1"/>
  <c r="H95" i="1" s="1"/>
  <c r="H96" i="1" s="1"/>
  <c r="H100" i="1"/>
  <c r="H101" i="1" s="1"/>
  <c r="H102" i="1" s="1"/>
  <c r="H60" i="1"/>
  <c r="H61" i="1" s="1"/>
  <c r="H62" i="1" s="1"/>
  <c r="H64" i="1"/>
  <c r="H65" i="1" s="1"/>
  <c r="H66" i="1" s="1"/>
  <c r="H68" i="1"/>
  <c r="H69" i="1" s="1"/>
  <c r="H70" i="1" s="1"/>
  <c r="H72" i="1"/>
  <c r="H73" i="1" s="1"/>
  <c r="H74" i="1" s="1"/>
  <c r="A2" i="4"/>
  <c r="A1" i="4"/>
  <c r="G141" i="1"/>
  <c r="G142" i="1" s="1"/>
  <c r="G143" i="1" s="1"/>
  <c r="G144" i="1" s="1"/>
  <c r="G145" i="1" s="1"/>
  <c r="H141" i="1"/>
  <c r="H142" i="1" s="1"/>
  <c r="H143" i="1" s="1"/>
  <c r="H144" i="1" s="1"/>
  <c r="H145" i="1" s="1"/>
  <c r="G55" i="1"/>
  <c r="G57" i="1" s="1"/>
  <c r="J251" i="1" l="1"/>
  <c r="J249" i="1"/>
  <c r="J261" i="1"/>
  <c r="J238" i="1"/>
  <c r="J255" i="1"/>
  <c r="J254" i="1"/>
  <c r="J250" i="1"/>
  <c r="G21" i="1"/>
  <c r="H21" i="1"/>
  <c r="I22" i="1" s="1"/>
  <c r="G160" i="1"/>
  <c r="G158" i="1"/>
  <c r="H131" i="1"/>
  <c r="H248" i="1" s="1"/>
  <c r="J248" i="1" s="1"/>
  <c r="H159" i="1"/>
  <c r="H245" i="1" s="1"/>
  <c r="J245" i="1" s="1"/>
  <c r="H34" i="1"/>
  <c r="H240" i="1" s="1"/>
  <c r="J240" i="1" s="1"/>
  <c r="H97" i="1"/>
  <c r="H243" i="1" s="1"/>
  <c r="J243" i="1" s="1"/>
  <c r="H135" i="1"/>
  <c r="H259" i="1" s="1"/>
  <c r="J259" i="1" s="1"/>
  <c r="H115" i="1"/>
  <c r="H256" i="1" s="1"/>
  <c r="J256" i="1" s="1"/>
  <c r="H157" i="1"/>
  <c r="H260" i="1" s="1"/>
  <c r="J260" i="1" s="1"/>
  <c r="H8" i="1"/>
  <c r="H239" i="1" s="1"/>
  <c r="J239" i="1" s="1"/>
  <c r="H133" i="1"/>
  <c r="H247" i="1" s="1"/>
  <c r="J247" i="1" s="1"/>
  <c r="H121" i="1"/>
  <c r="H253" i="1" s="1"/>
  <c r="J253" i="1" s="1"/>
  <c r="H41" i="1"/>
  <c r="H241" i="1" s="1"/>
  <c r="J241" i="1" s="1"/>
  <c r="G123" i="1"/>
  <c r="G252" i="1" s="1"/>
  <c r="J252" i="1" s="1"/>
  <c r="H4" i="1"/>
  <c r="H237" i="1" s="1"/>
  <c r="J237" i="1" s="1"/>
  <c r="J138" i="1"/>
  <c r="H55" i="1"/>
  <c r="H57" i="1" s="1"/>
  <c r="J54" i="1"/>
  <c r="J55" i="1" s="1"/>
  <c r="J56" i="1" s="1"/>
  <c r="J57" i="1" s="1"/>
  <c r="G68" i="1"/>
  <c r="G69" i="1" s="1"/>
  <c r="G70" i="1" s="1"/>
  <c r="J67" i="1"/>
  <c r="J68" i="1" s="1"/>
  <c r="J69" i="1" s="1"/>
  <c r="J70" i="1" s="1"/>
  <c r="G60" i="1"/>
  <c r="G61" i="1" s="1"/>
  <c r="G62" i="1" s="1"/>
  <c r="J60" i="1"/>
  <c r="J61" i="1" s="1"/>
  <c r="J62" i="1" s="1"/>
  <c r="G152" i="1"/>
  <c r="G153" i="1" s="1"/>
  <c r="G154" i="1" s="1"/>
  <c r="G155" i="1" s="1"/>
  <c r="G156" i="1" s="1"/>
  <c r="J151" i="1"/>
  <c r="J152" i="1" s="1"/>
  <c r="J153" i="1" s="1"/>
  <c r="J154" i="1" s="1"/>
  <c r="J155" i="1" s="1"/>
  <c r="J156" i="1" s="1"/>
  <c r="J43" i="1"/>
  <c r="J44" i="1" s="1"/>
  <c r="J45" i="1" s="1"/>
  <c r="J46" i="1" s="1"/>
  <c r="J47" i="1" s="1"/>
  <c r="G11" i="1"/>
  <c r="G12" i="1" s="1"/>
  <c r="G13" i="1" s="1"/>
  <c r="G14" i="1" s="1"/>
  <c r="G15" i="1" s="1"/>
  <c r="G16" i="1" s="1"/>
  <c r="J10" i="1"/>
  <c r="J11" i="1" s="1"/>
  <c r="J12" i="1" s="1"/>
  <c r="J13" i="1" s="1"/>
  <c r="J14" i="1" s="1"/>
  <c r="J15" i="1" s="1"/>
  <c r="J16" i="1" s="1"/>
  <c r="J81" i="1"/>
  <c r="J82" i="1" s="1"/>
  <c r="J83" i="1" s="1"/>
  <c r="J84" i="1" s="1"/>
  <c r="G100" i="1"/>
  <c r="G101" i="1" s="1"/>
  <c r="G102" i="1" s="1"/>
  <c r="J99" i="1"/>
  <c r="J100" i="1" s="1"/>
  <c r="J101" i="1" s="1"/>
  <c r="J102" i="1" s="1"/>
  <c r="J161" i="1"/>
  <c r="J162" i="1" s="1"/>
  <c r="J163" i="1" s="1"/>
  <c r="J164" i="1" s="1"/>
  <c r="G76" i="1"/>
  <c r="G77" i="1" s="1"/>
  <c r="G79" i="1" s="1"/>
  <c r="J75" i="1"/>
  <c r="J76" i="1" s="1"/>
  <c r="J77" i="1" s="1"/>
  <c r="G64" i="1"/>
  <c r="G65" i="1" s="1"/>
  <c r="G66" i="1" s="1"/>
  <c r="J63" i="1"/>
  <c r="J64" i="1" s="1"/>
  <c r="J65" i="1" s="1"/>
  <c r="J66" i="1" s="1"/>
  <c r="G72" i="1"/>
  <c r="G73" i="1" s="1"/>
  <c r="G74" i="1" s="1"/>
  <c r="J71" i="1"/>
  <c r="J72" i="1" s="1"/>
  <c r="J73" i="1" s="1"/>
  <c r="J74" i="1" s="1"/>
  <c r="G26" i="1"/>
  <c r="G27" i="1" s="1"/>
  <c r="G28" i="1" s="1"/>
  <c r="J25" i="1"/>
  <c r="J26" i="1" s="1"/>
  <c r="J27" i="1" s="1"/>
  <c r="J28" i="1" s="1"/>
  <c r="G93" i="1"/>
  <c r="G94" i="1" s="1"/>
  <c r="G95" i="1" s="1"/>
  <c r="G96" i="1" s="1"/>
  <c r="J92" i="1"/>
  <c r="J93" i="1" s="1"/>
  <c r="J94" i="1" s="1"/>
  <c r="J95" i="1" s="1"/>
  <c r="J96" i="1" s="1"/>
  <c r="G9" i="1"/>
  <c r="J111" i="1"/>
  <c r="J112" i="1" s="1"/>
  <c r="G109" i="1"/>
  <c r="J108" i="1"/>
  <c r="G35" i="1"/>
  <c r="I9" i="1"/>
  <c r="I98" i="1"/>
  <c r="I124" i="1"/>
  <c r="I114" i="1"/>
  <c r="I120" i="1"/>
  <c r="I126" i="1"/>
  <c r="I132" i="1"/>
  <c r="I7" i="1"/>
  <c r="I109" i="1"/>
  <c r="I112" i="1"/>
  <c r="I5" i="1"/>
  <c r="I35" i="1"/>
  <c r="I136" i="1"/>
  <c r="I42" i="1"/>
  <c r="I118" i="1"/>
  <c r="I130" i="1"/>
  <c r="I30" i="1"/>
  <c r="I116" i="1"/>
  <c r="I122" i="1"/>
  <c r="I128" i="1"/>
  <c r="I134" i="1"/>
  <c r="J32" i="1"/>
  <c r="J141" i="1"/>
  <c r="J142" i="1" s="1"/>
  <c r="J143" i="1" s="1"/>
  <c r="J144" i="1" s="1"/>
  <c r="J145" i="1" s="1"/>
  <c r="J150" i="1"/>
  <c r="H139" i="1"/>
  <c r="G32" i="1"/>
  <c r="G126" i="1"/>
  <c r="H128" i="1"/>
  <c r="G5" i="1"/>
  <c r="H112" i="1"/>
  <c r="G42" i="1"/>
  <c r="H109" i="1"/>
  <c r="H7" i="1"/>
  <c r="G122" i="1"/>
  <c r="G134" i="1"/>
  <c r="J127" i="1"/>
  <c r="G30" i="1"/>
  <c r="J125" i="1"/>
  <c r="J113" i="1"/>
  <c r="J6" i="1"/>
  <c r="G116" i="1"/>
  <c r="G114" i="1"/>
  <c r="G120" i="1"/>
  <c r="G98" i="1"/>
  <c r="G112" i="1"/>
  <c r="G132" i="1"/>
  <c r="J87" i="1"/>
  <c r="J88" i="1" s="1"/>
  <c r="G22" i="1" l="1"/>
  <c r="H22" i="1"/>
  <c r="I23" i="1" s="1"/>
  <c r="H158" i="1"/>
  <c r="H160" i="1"/>
  <c r="J41" i="1"/>
  <c r="J42" i="1" s="1"/>
  <c r="H122" i="1"/>
  <c r="J115" i="1"/>
  <c r="J116" i="1" s="1"/>
  <c r="J97" i="1"/>
  <c r="J98" i="1" s="1"/>
  <c r="H35" i="1"/>
  <c r="J4" i="1"/>
  <c r="J5" i="1" s="1"/>
  <c r="J79" i="1"/>
  <c r="J78" i="1"/>
  <c r="H98" i="1"/>
  <c r="H132" i="1"/>
  <c r="J34" i="1"/>
  <c r="J35" i="1" s="1"/>
  <c r="J131" i="1"/>
  <c r="J132" i="1" s="1"/>
  <c r="J133" i="1"/>
  <c r="J134" i="1" s="1"/>
  <c r="J121" i="1"/>
  <c r="J122" i="1" s="1"/>
  <c r="H9" i="1"/>
  <c r="J8" i="1"/>
  <c r="J9" i="1" s="1"/>
  <c r="H116" i="1"/>
  <c r="J157" i="1"/>
  <c r="H134" i="1"/>
  <c r="H136" i="1"/>
  <c r="J159" i="1"/>
  <c r="J160" i="1" s="1"/>
  <c r="H42" i="1"/>
  <c r="H5" i="1"/>
  <c r="J29" i="1"/>
  <c r="H118" i="1"/>
  <c r="J119" i="1"/>
  <c r="J85" i="1"/>
  <c r="J129" i="1"/>
  <c r="J130" i="1" s="1"/>
  <c r="J117" i="1"/>
  <c r="J118" i="1" s="1"/>
  <c r="J123" i="1"/>
  <c r="J135" i="1"/>
  <c r="J136" i="1" s="1"/>
  <c r="G118" i="1"/>
  <c r="I86" i="1"/>
  <c r="I139" i="1"/>
  <c r="G136" i="1"/>
  <c r="G130" i="1"/>
  <c r="H130" i="1"/>
  <c r="H86" i="1"/>
  <c r="G139" i="1"/>
  <c r="J109" i="1"/>
  <c r="G88" i="1"/>
  <c r="G89" i="1" s="1"/>
  <c r="G90" i="1" s="1"/>
  <c r="J89" i="1"/>
  <c r="J90" i="1" s="1"/>
  <c r="J139" i="1"/>
  <c r="H126" i="1"/>
  <c r="H124" i="1"/>
  <c r="H120" i="1"/>
  <c r="G7" i="1"/>
  <c r="G86" i="1"/>
  <c r="G128" i="1"/>
  <c r="H114" i="1"/>
  <c r="H30" i="1"/>
  <c r="G124" i="1"/>
  <c r="G23" i="1" l="1"/>
  <c r="H23" i="1"/>
  <c r="I24" i="1" s="1"/>
  <c r="J120" i="1"/>
  <c r="J128" i="1"/>
  <c r="J124" i="1"/>
  <c r="J114" i="1"/>
  <c r="J86" i="1"/>
  <c r="J30" i="1"/>
  <c r="J7" i="1"/>
  <c r="J126" i="1"/>
  <c r="J52" i="1"/>
  <c r="J53" i="1" s="1"/>
  <c r="G24" i="1" l="1"/>
  <c r="H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<sst xmlns="http://schemas.openxmlformats.org/spreadsheetml/2006/main" count="865" uniqueCount="319">
  <si>
    <t>From</t>
  </si>
  <si>
    <t>Incineration</t>
  </si>
  <si>
    <t>To</t>
  </si>
  <si>
    <t>Agricultural soil</t>
  </si>
  <si>
    <t>Agricultural soil (MP)</t>
  </si>
  <si>
    <t>Bare soil</t>
  </si>
  <si>
    <t>Bare soil (MP)</t>
  </si>
  <si>
    <t>Beach</t>
  </si>
  <si>
    <t>Beach (MP)</t>
  </si>
  <si>
    <t>Elimination</t>
  </si>
  <si>
    <t>Forest soil</t>
  </si>
  <si>
    <t>Forest soil (MP)</t>
  </si>
  <si>
    <t>Freshwater sediment</t>
  </si>
  <si>
    <t>Freshwater sediment (MP)</t>
  </si>
  <si>
    <t>Biota (MP)</t>
  </si>
  <si>
    <t>Grassland soil</t>
  </si>
  <si>
    <t>Grassland soil (MP)</t>
  </si>
  <si>
    <t>Inland water</t>
  </si>
  <si>
    <t>Inland water (MP)</t>
  </si>
  <si>
    <t>Ocean</t>
  </si>
  <si>
    <t>Shoreline</t>
  </si>
  <si>
    <t>Ocean (MP)</t>
  </si>
  <si>
    <t>Shoreline (MP)</t>
  </si>
  <si>
    <t>Natural soil</t>
  </si>
  <si>
    <t>Ocean sediment</t>
  </si>
  <si>
    <t>Ocean sediment (MP)</t>
  </si>
  <si>
    <t>Residential soil</t>
  </si>
  <si>
    <t>Residential soil (MP)</t>
  </si>
  <si>
    <t>Road side</t>
  </si>
  <si>
    <t>Sanitary landfill</t>
  </si>
  <si>
    <t>Natural soil (MP)</t>
  </si>
  <si>
    <t>Subsurface (MP)</t>
  </si>
  <si>
    <t>Surface water</t>
  </si>
  <si>
    <t>Surface water (MP)</t>
  </si>
  <si>
    <t>Second. material</t>
  </si>
  <si>
    <t>Steppe soil</t>
  </si>
  <si>
    <t>Steppe soil (MP)</t>
  </si>
  <si>
    <t>Wetland</t>
  </si>
  <si>
    <t>Wetland (MP)</t>
  </si>
  <si>
    <t>Waste water (MP)</t>
  </si>
  <si>
    <t>WWT (MP)</t>
  </si>
  <si>
    <t>Dumping</t>
  </si>
  <si>
    <t>Litter (residential)</t>
  </si>
  <si>
    <t>Litter (roads)</t>
  </si>
  <si>
    <t>Litter (nature)</t>
  </si>
  <si>
    <t>Storm water</t>
  </si>
  <si>
    <t>Mixed waste collection</t>
  </si>
  <si>
    <t>Compost (MP)</t>
  </si>
  <si>
    <t>Compost</t>
  </si>
  <si>
    <t>Industry water (MP)</t>
  </si>
  <si>
    <t>WWT</t>
  </si>
  <si>
    <t>Floors (MP)</t>
  </si>
  <si>
    <t>No WWT</t>
  </si>
  <si>
    <t>Sludge</t>
  </si>
  <si>
    <t>Secondary WWT</t>
  </si>
  <si>
    <t>Tertiary WWT</t>
  </si>
  <si>
    <t>No WWT (MP)</t>
  </si>
  <si>
    <t>Sludge (MP)</t>
  </si>
  <si>
    <t>Secondary WWT (MP)</t>
  </si>
  <si>
    <t>Tertiary WWT (MP)</t>
  </si>
  <si>
    <t>Outdoor air (MP)</t>
  </si>
  <si>
    <t>Air precipitation (MP)</t>
  </si>
  <si>
    <t>Human (lungs)</t>
  </si>
  <si>
    <t>Indoor air (MP)</t>
  </si>
  <si>
    <t>Human (intestines)</t>
  </si>
  <si>
    <t>Packaging</t>
  </si>
  <si>
    <t>Consumer bottles</t>
  </si>
  <si>
    <t>Packaging recycling</t>
  </si>
  <si>
    <t>Compost collection (large)</t>
  </si>
  <si>
    <t>Compost collection (small)</t>
  </si>
  <si>
    <t>Sludge collection</t>
  </si>
  <si>
    <t>Sludge collection (MP)</t>
  </si>
  <si>
    <t>Consumer bottles on-the-go</t>
  </si>
  <si>
    <t>Consumer bottles at home</t>
  </si>
  <si>
    <t>Consumer bottles at home non-deposit</t>
  </si>
  <si>
    <t>Packaging collection</t>
  </si>
  <si>
    <t>Consumer bottles on-the-go non-deposit</t>
  </si>
  <si>
    <t>Deposit refund scheme</t>
  </si>
  <si>
    <t>Mixed waste collected</t>
  </si>
  <si>
    <t>Not collected</t>
  </si>
  <si>
    <t>Packaging collected</t>
  </si>
  <si>
    <t>Sanitary landfill (MP)</t>
  </si>
  <si>
    <t>Incineration (MP)</t>
  </si>
  <si>
    <t>Elimination (MP)</t>
  </si>
  <si>
    <t>Shrubland soil (MP)</t>
  </si>
  <si>
    <t>Shrubland soil</t>
  </si>
  <si>
    <t>Realistically, what do you think is the lowest plausible value?</t>
  </si>
  <si>
    <t>Realistically, what do you think is the largest plausible value?</t>
  </si>
  <si>
    <t>Wastewater treatment</t>
  </si>
  <si>
    <t>Is the sum of upper values greater than or equal to 1?</t>
  </si>
  <si>
    <t>Is the sum of lower values less than or equal to 1?</t>
  </si>
  <si>
    <t>Space for comments</t>
  </si>
  <si>
    <t>Type</t>
  </si>
  <si>
    <t>Subsurface</t>
  </si>
  <si>
    <t>Landscape data</t>
  </si>
  <si>
    <t>Trivial / given data</t>
  </si>
  <si>
    <t>Duplicate data</t>
  </si>
  <si>
    <t>Processes with two flows</t>
  </si>
  <si>
    <t>Questions 1</t>
  </si>
  <si>
    <t>Question 2</t>
  </si>
  <si>
    <t>Question 3</t>
  </si>
  <si>
    <t>Question 4</t>
  </si>
  <si>
    <t>Question 5</t>
  </si>
  <si>
    <t>Question 6</t>
  </si>
  <si>
    <t>Question 7</t>
  </si>
  <si>
    <t>Question 8</t>
  </si>
  <si>
    <t>Question 9</t>
  </si>
  <si>
    <t>Question 10</t>
  </si>
  <si>
    <t>Question 11</t>
  </si>
  <si>
    <t>Question 12</t>
  </si>
  <si>
    <t>What percentage was ingested as microplastics by humans?</t>
  </si>
  <si>
    <t>What percentage was disposed of in small, private compost systems?</t>
  </si>
  <si>
    <t>What percentage was disposed in packaging-specific waste streams such as PMD?</t>
  </si>
  <si>
    <t>What percentage was released as microplastics to indoor air during use?</t>
  </si>
  <si>
    <t>What percentage was dumped in nature?</t>
  </si>
  <si>
    <t>What percentage was disposed in mixed waste streams?</t>
  </si>
  <si>
    <t>What percentage of consumer PET bottles disposed in packaging-specific waste streams such as PMD, was collected in the Netherlands in 2024?</t>
  </si>
  <si>
    <t>What percentage of consumer PET bottles disposed in mixed waste streams was collected in the Netherlands in 2024?</t>
  </si>
  <si>
    <t>What percentage was lost to residential soil in the process of waste collection and transport?</t>
  </si>
  <si>
    <t>What percentage was incinerated?</t>
  </si>
  <si>
    <t>What percentage ended up in residential soil?</t>
  </si>
  <si>
    <t>What percentage ended up in surface water?</t>
  </si>
  <si>
    <t>What percentage was released to industry water in the form of microplastics during washing or other recycling processes?</t>
  </si>
  <si>
    <t>What percentage was released to indoor air in the form microplastics during shredding or other recycling processes?</t>
  </si>
  <si>
    <t>What percentage of consumer PET bottles that were disposed in waste streams but not collected, ended up in stormwater, i.e. rainwater runoff, in the Netherlands in 2024?</t>
  </si>
  <si>
    <t>What percentage of consumer PET bottles that were lost in compost, ended up in agricultural soil in the Netherlands in 2024?</t>
  </si>
  <si>
    <t>What percentage of consumer PET bottles collected from packaging-specific waste streams such as PMD, was brought to a plastic recycling facility in the Netherlands in 2024?</t>
  </si>
  <si>
    <t>What percentage of consumer PET bottles collected from mixed waste streams, was brought to a plastic recycling facility in the Netherlands in 2024?</t>
  </si>
  <si>
    <t>What percentage of microplastic-containing wastewater generated by industries recycling consumer PET bottles, was sent to wastewater treatment in the Netherlands in 2024?</t>
  </si>
  <si>
    <t>What percentage of consumer PET bottles littered in residential areas was cleaned up and disposed of with mixed waste in the Netherlands in 2024?</t>
  </si>
  <si>
    <t>What percentage of consumer PET bottles littered on roads were cleaned up and disposed of with mixed waste, rather than left on the road, in the Netherlands in 2024?</t>
  </si>
  <si>
    <t>What percentage of consumer PET bottles littered in natural areas was cleaned up and disposed of with mixed waste in the Netherlands in 2024?</t>
  </si>
  <si>
    <t>What percentage of PET plastics in stormwater, i.e. rainwater runoff, ended up in surface water rather than the wastewater treatment system, in the Netherlands in 2024?</t>
  </si>
  <si>
    <t>What percentage of PET microplastics in outdoor air was inhaled by humans rather than precipitated to land and inland water in the Netherlands in 2024?</t>
  </si>
  <si>
    <t>What percentage of PET microplastics in indoor air was inhaled by humans in the Netherlands in 2024?</t>
  </si>
  <si>
    <t>What percentage of microplastics on floors in buildings were disposed to wastewater (e.g. through mopping) rather than to mixed waste (e.g. through vacuuming), in the Netherlands in 2024?</t>
  </si>
  <si>
    <t>What percentage of wastewater was not treated but directly discharged to surface water, in the Netherlands in 2024?</t>
  </si>
  <si>
    <t>What percentage ended up in subsurface soil?</t>
  </si>
  <si>
    <t>What percentage was transferred to outdoor air?</t>
  </si>
  <si>
    <t>What percentage ended up on floors in buildings?</t>
  </si>
  <si>
    <t>What percentage was discharged into surface water, such as rivers and lakes?</t>
  </si>
  <si>
    <t>What percentage was discharged in residential soil?</t>
  </si>
  <si>
    <t>What percentage ended up incinerated?</t>
  </si>
  <si>
    <t>What percentage ended up in large, central composting facilities?</t>
  </si>
  <si>
    <t>What percentage ended up in surface water, such as rivers and lakes?</t>
  </si>
  <si>
    <t>What percentage ended up in stormwater, i.e. rainwater runoff?</t>
  </si>
  <si>
    <t>What percentage of PET microplastics in inland water was absorbed by biota in the Netherlands in 2024?</t>
  </si>
  <si>
    <t>What percentage was deposited in freshwater sediment?</t>
  </si>
  <si>
    <t>What percentage remained in inland water?</t>
  </si>
  <si>
    <t>What percentage was dispersed to the ocean?</t>
  </si>
  <si>
    <t>What percentage was discharged to the ocean?</t>
  </si>
  <si>
    <t>What percentage remained in the ocean?</t>
  </si>
  <si>
    <t>What percentage was deposited in ocean sediment?</t>
  </si>
  <si>
    <t>What percentage ended up on the shoreline?</t>
  </si>
  <si>
    <t>What percentage remained in wetland?</t>
  </si>
  <si>
    <t>What percentage remained in wetland undegraded?</t>
  </si>
  <si>
    <t>What percentage was deposited in freshwater sediment undegraded?</t>
  </si>
  <si>
    <t>What percenage was transferred to the ocean undegraded?</t>
  </si>
  <si>
    <t>What percentage was washed onto the shoreline undegraded?</t>
  </si>
  <si>
    <t>What percentage remained in inland water undegredaded?</t>
  </si>
  <si>
    <t>What percentage was transferred to the ocean undegraded?</t>
  </si>
  <si>
    <t>What percentage washed onto the shoreline undegraded?</t>
  </si>
  <si>
    <t>What percentage remained in the ocean undegraded?</t>
  </si>
  <si>
    <t>What percentage was washed onto the beach undegraded?</t>
  </si>
  <si>
    <t>What percentage was deposited in ocean sediment undegraded?</t>
  </si>
  <si>
    <t>What percentage was lost to natural soil undegraded?</t>
  </si>
  <si>
    <t>What percentage was lost to residential soil undegraded?</t>
  </si>
  <si>
    <t>What percentage was lost to surface water undegraded?</t>
  </si>
  <si>
    <t>What percentage of PET microplastics in wetland was absorbed by biota in the Netherlands in 2024?</t>
  </si>
  <si>
    <t>What percentage of microplastics in biota was ingested by humans (e.g. through eating fish) rather than retained in biota, in the Netherlands in 2024?</t>
  </si>
  <si>
    <t>Is everything filled out?</t>
  </si>
  <si>
    <t>Valid and complete response</t>
  </si>
  <si>
    <t>Plastic disposal behavior of consumers</t>
  </si>
  <si>
    <t>Plastic waste collection and treatment</t>
  </si>
  <si>
    <t>Plastic recycling</t>
  </si>
  <si>
    <t>MFA</t>
  </si>
  <si>
    <t>ADM</t>
  </si>
  <si>
    <t>Roadside (MP)</t>
  </si>
  <si>
    <t>Question 13</t>
  </si>
  <si>
    <t>Question 14</t>
  </si>
  <si>
    <t>Question 15</t>
  </si>
  <si>
    <t>Question 17</t>
  </si>
  <si>
    <t>Question 18</t>
  </si>
  <si>
    <t>Question 20</t>
  </si>
  <si>
    <t>Question 21</t>
  </si>
  <si>
    <t>Question 22</t>
  </si>
  <si>
    <t>Question 23</t>
  </si>
  <si>
    <t>Question 24</t>
  </si>
  <si>
    <t>Question 25</t>
  </si>
  <si>
    <t>Question 26</t>
  </si>
  <si>
    <t>Question 27</t>
  </si>
  <si>
    <t>Question 28</t>
  </si>
  <si>
    <t>Question 29</t>
  </si>
  <si>
    <t>Question 30</t>
  </si>
  <si>
    <t>Question 31</t>
  </si>
  <si>
    <t>Question 32</t>
  </si>
  <si>
    <t>Question 33</t>
  </si>
  <si>
    <t>Question 34</t>
  </si>
  <si>
    <t>Question 35</t>
  </si>
  <si>
    <t>Question 36</t>
  </si>
  <si>
    <t>Question 37</t>
  </si>
  <si>
    <t>Question 38</t>
  </si>
  <si>
    <t>Question 39</t>
  </si>
  <si>
    <t>Question 40</t>
  </si>
  <si>
    <t>Question 41</t>
  </si>
  <si>
    <t>Question 42</t>
  </si>
  <si>
    <t>Question 43</t>
  </si>
  <si>
    <t>Question 44</t>
  </si>
  <si>
    <t>Question 45</t>
  </si>
  <si>
    <t>Question 46</t>
  </si>
  <si>
    <t>Question 47</t>
  </si>
  <si>
    <t>Question 48</t>
  </si>
  <si>
    <t>Question 49</t>
  </si>
  <si>
    <t>Question 50</t>
  </si>
  <si>
    <t>Question 51</t>
  </si>
  <si>
    <t>Question 52</t>
  </si>
  <si>
    <t>Question 53</t>
  </si>
  <si>
    <t/>
  </si>
  <si>
    <t>What percentage was littered (uncollected) in residential areas?</t>
  </si>
  <si>
    <t>What percentage was littered (uncollected) in nature?</t>
  </si>
  <si>
    <t>What percentage was littered (uncollected) on roadsides or along roadsides, including e.g. gas stations and restaurants along roads?</t>
  </si>
  <si>
    <t>What percentage was released as microplastics to outdoor air during use, e.g. due to wear and tear or when opening a bottle?</t>
  </si>
  <si>
    <t>What percentage was dumped, i.e. discarded outside of a waste bin and away from the point of use to avoid the constraint of appropriate disposal which can be costly or time-consuming?</t>
  </si>
  <si>
    <t>What percentage was brought to a sanitary landfill, which has a landfill gas collection system?</t>
  </si>
  <si>
    <t>What percentage was eliminated through degradation or mineralization?</t>
  </si>
  <si>
    <t>What percentage of on-the-go consumer PET bottles (used on the move in public spaces) was returned through the deposit-refund scheme in the Netherlands in 2024?</t>
  </si>
  <si>
    <t>What percentage of on-the-go consumer PET bottles (used on the move in public spaces) that were not returned through the deposit-refund scheme, was collected as mixed waste in the Netherlands in 2024?</t>
  </si>
  <si>
    <t>What percentage of at-home consumer PET bottles (used in homes, cafes, and restaurants) that were not returned through the deposit-refund scheme, was disposed in mixed waste streams in the Netherlands in 2024?</t>
  </si>
  <si>
    <t>What percentage of at-home consumer PET bottles (used in homes, cafes, and restaurants) that were dumped, was dumped in residential areas in the Netherlands in 2024?</t>
  </si>
  <si>
    <t>What percentage of at-home consumer PET bottles (used in homes, cafes, and restaurants) was returned through the deposit-refund scheme in the Netherlands in 2024?</t>
  </si>
  <si>
    <t>What percentage of consumer PET bottles was used on-the-go (used on the move in public spaces), rather than at home (used in homes, cafes, and restaurants) in the Netherlands in 2024?</t>
  </si>
  <si>
    <t>What percentage of PET microplastics in freshwater sediment was absorbed by biota rather than retained in freshwater sediment, in the Netherlands in 2024?</t>
  </si>
  <si>
    <t>What percentage was dumped on or near roads?</t>
  </si>
  <si>
    <r>
      <rPr>
        <b/>
        <i/>
        <sz val="11"/>
        <color theme="1"/>
        <rFont val="Aptos Narrow"/>
        <family val="2"/>
        <scheme val="minor"/>
      </rPr>
      <t>Rules for all questions:</t>
    </r>
    <r>
      <rPr>
        <i/>
        <sz val="11"/>
        <color theme="1"/>
        <rFont val="Aptos Narrow"/>
        <family val="2"/>
        <scheme val="minor"/>
      </rPr>
      <t xml:space="preserve">
1. The largest value must be greater than or equal to the lowest value.
2. The best guess must be in between the lowest value and the largest value.
</t>
    </r>
    <r>
      <rPr>
        <b/>
        <i/>
        <sz val="11"/>
        <color theme="1"/>
        <rFont val="Aptos Narrow"/>
        <family val="2"/>
        <scheme val="minor"/>
      </rPr>
      <t>Rules for questions with more than one row:</t>
    </r>
    <r>
      <rPr>
        <i/>
        <sz val="11"/>
        <color theme="1"/>
        <rFont val="Aptos Narrow"/>
        <family val="2"/>
        <scheme val="minor"/>
      </rPr>
      <t xml:space="preserve">
3. The sum of lowest plausible values must be less than or equal to 1.
4. The sum of largest plausible values must be larger than or equal to 1.</t>
    </r>
  </si>
  <si>
    <t>Topics</t>
  </si>
  <si>
    <t>Explanation</t>
  </si>
  <si>
    <t>Link to questions</t>
  </si>
  <si>
    <t>If you are knowledgeable in one or more of these topics, please provide a short explanation of
your expertise (1-2 sentences) for each relevant topic, and answer the corresponding questions.</t>
  </si>
  <si>
    <t>Realistically, what do you
think is the lowest plausible
value?</t>
  </si>
  <si>
    <t>Realistically, what do you
think is the largest plausible
value?</t>
  </si>
  <si>
    <t>What percentage ended up in waste?</t>
  </si>
  <si>
    <t>Lost socks</t>
  </si>
  <si>
    <t>What percentage of socks were lost at home during laundry in 2024?</t>
  </si>
  <si>
    <t>What percentage ended up somewhere else?</t>
  </si>
  <si>
    <t>Of socks lost during laundry at home in 2024, what percentage ended up in the wrong person's closet?</t>
  </si>
  <si>
    <t>How to visualize the questions?</t>
  </si>
  <si>
    <t>How to answer the questions?</t>
  </si>
  <si>
    <t>Terms</t>
  </si>
  <si>
    <t>Definitions</t>
  </si>
  <si>
    <t>Soil actively used for farming, including crop cultivation and livestock grazing.</t>
  </si>
  <si>
    <t>Exposed soil with minimal or no vegetation cover</t>
  </si>
  <si>
    <t>Sandy or pebbly zone between land and a water body</t>
  </si>
  <si>
    <t>Discarding outside of a waste bin and away from the point of use to avoid the constraint of appropriate disposal which can be costly or time-consuming.</t>
  </si>
  <si>
    <t>Soil found under forested areas</t>
  </si>
  <si>
    <t>Deposited particles at the bottom of rivers, lakes, or streams in freshwater systems.</t>
  </si>
  <si>
    <t>Grassland</t>
  </si>
  <si>
    <t>Soil in open areas dominated by grasses with minimal tree cover</t>
  </si>
  <si>
    <t xml:space="preserve"> Bodies of water such as lakes, rivers, and streams located away from the coast.</t>
  </si>
  <si>
    <t>Microplastics</t>
  </si>
  <si>
    <t>Small plastic particulates below 5 mm in size and above 1 µm.</t>
  </si>
  <si>
    <t>Large saline body of water covering much of the Earth's surface</t>
  </si>
  <si>
    <t>Fine particles accumulated on the ocean floor</t>
  </si>
  <si>
    <t>Primary wastewater treatment</t>
  </si>
  <si>
    <t>Wastewater treatment involving influent pumps to bring in raw wastewater and skimming troughs to remove large solids and floating materials.</t>
  </si>
  <si>
    <t>Soil within or around inhabited areas, such as yards, gardens, or parks in cities or suburbs.</t>
  </si>
  <si>
    <t>Soil adjacent to roads</t>
  </si>
  <si>
    <t>Landfills with gas collection systems.</t>
  </si>
  <si>
    <t>Secondary wastewater treatment</t>
  </si>
  <si>
    <t>Wastewater treatment involving primary treatment and biological treatment using aeration tanks to break down organic matter.</t>
  </si>
  <si>
    <t>Narrow zone between land and a water body, excluding beaches</t>
  </si>
  <si>
    <t>Soil in regions dominated by shrubs or low woody vegetation</t>
  </si>
  <si>
    <t>Soil in semi-arid regions characterized by sparse grass and low precipitation</t>
  </si>
  <si>
    <t>Subsurface soil</t>
  </si>
  <si>
    <t>Soil located beneath the topsoil layer</t>
  </si>
  <si>
    <t>Tertiary wastewater treatment</t>
  </si>
  <si>
    <t>Wastewater treatment involving primary treatment, secondary treatment, and  clarification using gravity filters to remove remaining fine particles and impurities.</t>
  </si>
  <si>
    <t>Water-saturated land with hydric soils and aquatic vegetation</t>
  </si>
  <si>
    <r>
      <t xml:space="preserve">Welcome!
</t>
    </r>
    <r>
      <rPr>
        <sz val="15"/>
        <color theme="1"/>
        <rFont val="Aptos Narrow"/>
        <family val="2"/>
        <scheme val="minor"/>
      </rPr>
      <t>We’re looking for your expert input in this short survey about what happens to PET plastic from beverage bottles in the Netherlands. There isn’t enough data on this, and we urgently need better information to help create models that support smart policies against plastic pollution. Instead of asking for exact numbers—which can be difficult to estimate—we’ll ask you to provide a lower and upper bound that includes all values you consider plausible or able-to-be-believed.
The survey follows the journey of these plastics—from when people use them, all the way to when they break down into microplastics in the environment. A lot happens in between, so if you're knowledgeable about any of the topics listed below, we’d really value your help!</t>
    </r>
  </si>
  <si>
    <t>Plastic degradation in the environment</t>
  </si>
  <si>
    <t>What percentage of PET microplastics in sewage sludge used as compost was applied to agricultural soil, rather than residential soil, in the Netherlands in 2024?</t>
  </si>
  <si>
    <t>What percentage of PET (macro)plastics in ocean sediment was degraded to microplastics in the Netherlands in 2024, due to e.g. photodegradation or biodegradation?</t>
  </si>
  <si>
    <t>What percentage of PET (macro)plastics in agricultural soil was degraded to microplastics in the Netherlands in 2024, due to e.g. photodegradation or biodegradation?</t>
  </si>
  <si>
    <t>What percentage of PET (macro)plastics in bare soil was degraded to microplastics in the Netherlands in 2024, due to e.g. photodegradation or biodegradation?</t>
  </si>
  <si>
    <t>What percentage of PET (macro)plastics in forest soil was degraded to microplastics in the Netherlands in 2024, due to e.g. photodegradation or biodegradation?</t>
  </si>
  <si>
    <t>What percentage of PET (macro)plastics on the beach was degraded to microplastics in the Netherlands in 2024, due to e.g. photodegradation or biodegradation?</t>
  </si>
  <si>
    <t>What percentage of PET (macro)plastics in freshwater sediment was degraded to microplastics in the Netherlands in 2024, due to e.g. photodegradation or biodegradation?</t>
  </si>
  <si>
    <t>What percentage of PET (macro)plastics in grassland was degraded to microplastics in the Netherlands in 2024, due to e.g. photodegradation or biodegradation?</t>
  </si>
  <si>
    <t>What percentage of PET (macro)plastics in residential soil was degraded to microplastics in the Netherlands in 2024, due to e.g. photodegradation or biodegradation?</t>
  </si>
  <si>
    <t>What percentage of PET (macro)plastics on the road side was degraded to microplastics in the Netherlands in 2024, due to e.g. photodegradation or biodegradation?</t>
  </si>
  <si>
    <t>What percentage of PET (macro)plastics on the shoreline was degraded to microplastics in the Netherlands in 2024, due to e.g. photodegradation or biodegradation?</t>
  </si>
  <si>
    <t>What percentage of PET (macro)plastics in steppe soil was degraded to microplastics in the Netherlands in 2024, due to e.g. photodegradation or biodegradation?</t>
  </si>
  <si>
    <t>What percentage of PET (macro)plastics in shrubland soil was degraded to microplastics in the Netherlands in 2024, due to e.g. photodegradation or biodegradation?</t>
  </si>
  <si>
    <t>What percentage of PET (macro)plastics in subsurface soil was degraded to microplastics in the Netherlands in 2024, due to e.g. photodegradation or biodegradation?</t>
  </si>
  <si>
    <t>Cleaning and dispersion of plastic litter</t>
  </si>
  <si>
    <t>Dispersion and degradation of plastic litter</t>
  </si>
  <si>
    <t>What percentage of PET (macro)plastics in inland water was degraded to microplastics in inland water in the Netherlands in 2024, due to e.g. photodegradation or biodegradation?</t>
  </si>
  <si>
    <t>What percentage of PET (macro)plastics in oceans was degraded to microplastics in the ocean in the Netherlands in 2024, due to e.g. photodegradation or biodegradation?</t>
  </si>
  <si>
    <t>What percentage of PET (macro)plastics in wetland was degraded to microplastics in wetland in the Netherlands in 2024, due to e.g. photodegradation or biodegradation?</t>
  </si>
  <si>
    <t>Biological uptake and dispersion of microplastics</t>
  </si>
  <si>
    <t>Glossary</t>
  </si>
  <si>
    <t>Photodegration</t>
  </si>
  <si>
    <t>Biodegradation</t>
  </si>
  <si>
    <t>Degradation of plastics due to UV exposure</t>
  </si>
  <si>
    <t>Degradation of plastics by microrganisms</t>
  </si>
  <si>
    <t>What percentage was washed onto the shoreline?</t>
  </si>
  <si>
    <t>What percentage of consumer PET bottles collected for recycling was succesfully converted to secondary plastics in the Netherlands in 2024?</t>
  </si>
  <si>
    <t>What percentage ended up on the beach?</t>
  </si>
  <si>
    <t>What percentage of PET microplastics in the ocean was absorbed by biota in the Netherlands in 2024?</t>
  </si>
  <si>
    <t>Sewage sludge and compost application</t>
  </si>
  <si>
    <t>What percentage of (macro) PET plastics in wastewater subjected to primary and secondary wastewater treatment ended up in sewage sludge in the Netherlands in 2024?</t>
  </si>
  <si>
    <t xml:space="preserve">What percentage of (macro) PET plastics in wastewater subjected to primary, secondary, and tertiary wastewater treatment ended up in sewage sludge in the Netherlands in 2024? </t>
  </si>
  <si>
    <t>What percentage of PET microplastics in wastewater subjected to primary and secondary wastewater treatment ended up in sewage sludge in the Netherlands in 2024?</t>
  </si>
  <si>
    <t>What percentage of PET microplastics in wastewater subjected to primary, secondary, and tertiary wastewater treatment ended up in sewage sludge in the Netherlands in 2024?</t>
  </si>
  <si>
    <t>What percentage of wastewater from cleaning floors (e.g. from mobbing) was treated by the wastewater treatment system (i.e. disposed down the drain), rather than disposed directly to subsurface soil (e.g. thrown outside), in the Netherlands in 2024?</t>
  </si>
  <si>
    <t>What percentage of wastewater was subjected to primary and secondary wastewater treatment, which involves the removal of solid matter and dissolved and suspended biological matter?</t>
  </si>
  <si>
    <t>What percentage of wastewater was subjected to primary, secondary, and tertiary wastewater treatment, which involves the removal of solid matter, dissolved and suspended biological matter, and phosphates and/or nitrates?</t>
  </si>
  <si>
    <t>What percentage of PET (macro)plastics in sanitary landfills, which have landfill gas collection systems, remained in sanitary landfills undegraded?</t>
  </si>
  <si>
    <t>What percentage of PET (macro)plastics and microplastics in sewage sludge ended up in a sanitary landfill, which has a landfill gas collection system, in the Netherlands in 2024?</t>
  </si>
  <si>
    <t>What percentage ended up in natural 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</si>
</sst>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theme="0"/>
      <name val="Aptos Narrow"/>
      <family val="2"/>
      <scheme val="minor"/>
    </font>
    <font>
      <sz val="11"/>
      <color theme="5" tint="0.79998168889431442"/>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b/>
      <i/>
      <sz val="11"/>
      <color theme="1"/>
      <name val="Aptos Narrow"/>
      <family val="2"/>
      <scheme val="minor"/>
    </font>
    <font>
      <sz val="11"/>
      <color theme="10"/>
      <name val="Aptos Narrow"/>
      <family val="2"/>
      <scheme val="minor"/>
    </font>
    <font>
      <b/>
      <sz val="15"/>
      <color theme="1"/>
      <name val="Aptos Narrow"/>
      <family val="2"/>
      <scheme val="minor"/>
    </font>
    <font>
      <sz val="15"/>
      <color theme="1"/>
      <name val="Aptos Narrow"/>
      <family val="2"/>
      <scheme val="minor"/>
    </font>
    <font>
      <u/>
      <sz val="15"/>
      <color theme="4"/>
      <name val="Aptos Narrow"/>
      <family val="2"/>
      <scheme val="minor"/>
    </font>
    <font>
      <b/>
      <sz val="15"/>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39997558519241921"/>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19">
    <xf numFmtId="0" fontId="0" fillId="0" borderId="0" xfId="0"/>
    <xf numFmtId="0" fontId="0" fillId="0" borderId="0" xfId="0" applyAlignment="1">
      <alignment wrapText="1"/>
    </xf>
    <xf numFmtId="0" fontId="0" fillId="0" borderId="5"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0" xfId="0" applyAlignment="1">
      <alignment horizontal="center" vertical="top"/>
    </xf>
    <xf numFmtId="0" fontId="0" fillId="0" borderId="0" xfId="0" applyAlignment="1">
      <alignment horizontal="left" vertical="top"/>
    </xf>
    <xf numFmtId="9" fontId="0" fillId="0" borderId="0" xfId="1" applyFont="1" applyAlignment="1">
      <alignment horizontal="center" vertical="top"/>
    </xf>
    <xf numFmtId="0" fontId="2" fillId="2" borderId="0" xfId="0" applyFont="1" applyFill="1" applyAlignment="1">
      <alignment horizontal="left" vertical="top"/>
    </xf>
    <xf numFmtId="0" fontId="2" fillId="2" borderId="4" xfId="0" applyFont="1" applyFill="1" applyBorder="1" applyAlignment="1">
      <alignment horizontal="left" vertical="top" wrapText="1"/>
    </xf>
    <xf numFmtId="0" fontId="0" fillId="0" borderId="0" xfId="0" applyAlignment="1">
      <alignment horizontal="left" vertical="top" wrapText="1"/>
    </xf>
    <xf numFmtId="0" fontId="5" fillId="2" borderId="0" xfId="0" applyFont="1" applyFill="1" applyAlignment="1">
      <alignment horizontal="center" vertical="top" wrapText="1"/>
    </xf>
    <xf numFmtId="0" fontId="7" fillId="4" borderId="4" xfId="0" applyFont="1" applyFill="1" applyBorder="1" applyAlignment="1">
      <alignment horizontal="left" vertical="top" wrapText="1"/>
    </xf>
    <xf numFmtId="0" fontId="7" fillId="4" borderId="0" xfId="0" applyFont="1" applyFill="1" applyAlignment="1">
      <alignment horizontal="left" vertical="top"/>
    </xf>
    <xf numFmtId="0" fontId="5" fillId="4" borderId="0" xfId="0" applyFont="1" applyFill="1" applyAlignment="1">
      <alignment horizontal="center" vertical="top"/>
    </xf>
    <xf numFmtId="0" fontId="0" fillId="4" borderId="4" xfId="0" applyFill="1" applyBorder="1" applyAlignment="1">
      <alignment horizontal="left" vertical="top" wrapText="1"/>
    </xf>
    <xf numFmtId="0" fontId="0" fillId="4" borderId="0" xfId="0" applyFill="1" applyAlignment="1">
      <alignment horizontal="left" vertical="top"/>
    </xf>
    <xf numFmtId="0" fontId="0" fillId="4" borderId="4" xfId="0" applyFill="1" applyBorder="1" applyAlignment="1">
      <alignment horizontal="left" vertical="top"/>
    </xf>
    <xf numFmtId="0" fontId="0" fillId="4" borderId="6" xfId="0" applyFill="1" applyBorder="1" applyAlignment="1">
      <alignment horizontal="left" vertical="top" wrapText="1"/>
    </xf>
    <xf numFmtId="0" fontId="0" fillId="4" borderId="7" xfId="0" applyFill="1" applyBorder="1" applyAlignment="1">
      <alignment horizontal="left" vertical="top"/>
    </xf>
    <xf numFmtId="0" fontId="5" fillId="4" borderId="7" xfId="0" applyFont="1" applyFill="1" applyBorder="1" applyAlignment="1">
      <alignment horizontal="center" vertical="top"/>
    </xf>
    <xf numFmtId="9" fontId="3" fillId="3" borderId="0" xfId="1" applyFont="1" applyFill="1" applyBorder="1" applyAlignment="1" applyProtection="1">
      <alignment horizontal="center" vertical="center"/>
    </xf>
    <xf numFmtId="9" fontId="0" fillId="0" borderId="0" xfId="1" applyFont="1" applyBorder="1" applyAlignment="1" applyProtection="1">
      <alignment horizontal="center" vertical="center"/>
      <protection locked="0"/>
    </xf>
    <xf numFmtId="9" fontId="0" fillId="3" borderId="0" xfId="1" applyFont="1" applyFill="1" applyBorder="1" applyAlignment="1">
      <alignment horizontal="center" vertical="center"/>
    </xf>
    <xf numFmtId="9" fontId="0" fillId="0" borderId="0" xfId="1" applyFont="1" applyFill="1" applyBorder="1" applyAlignment="1" applyProtection="1">
      <alignment horizontal="center" vertical="center"/>
      <protection locked="0"/>
    </xf>
    <xf numFmtId="9" fontId="0" fillId="3" borderId="0" xfId="1" applyFont="1" applyFill="1" applyBorder="1" applyAlignment="1" applyProtection="1">
      <alignment horizontal="center" vertical="center"/>
    </xf>
    <xf numFmtId="9" fontId="2" fillId="2" borderId="0" xfId="1" applyFont="1" applyFill="1" applyBorder="1" applyAlignment="1" applyProtection="1">
      <alignment horizontal="center" vertical="center" wrapText="1"/>
    </xf>
    <xf numFmtId="9" fontId="7" fillId="4" borderId="0" xfId="1" applyFont="1" applyFill="1" applyBorder="1" applyAlignment="1" applyProtection="1">
      <alignment horizontal="center" vertical="center"/>
    </xf>
    <xf numFmtId="9" fontId="0" fillId="4" borderId="0" xfId="1" applyFont="1" applyFill="1" applyBorder="1" applyAlignment="1" applyProtection="1">
      <alignment horizontal="center" vertical="center"/>
    </xf>
    <xf numFmtId="9" fontId="0" fillId="4" borderId="7" xfId="1" applyFont="1" applyFill="1" applyBorder="1" applyAlignment="1" applyProtection="1">
      <alignment horizontal="center" vertical="center"/>
    </xf>
    <xf numFmtId="9" fontId="0" fillId="0" borderId="7" xfId="1" applyFont="1" applyBorder="1" applyAlignment="1" applyProtection="1">
      <alignment horizontal="center" vertical="center"/>
      <protection locked="0"/>
    </xf>
    <xf numFmtId="9" fontId="1" fillId="0" borderId="0" xfId="1" applyFont="1" applyBorder="1" applyAlignment="1" applyProtection="1">
      <alignment horizontal="center" vertical="center"/>
      <protection locked="0"/>
    </xf>
    <xf numFmtId="0" fontId="7" fillId="0" borderId="0" xfId="0" applyFont="1" applyAlignment="1" applyProtection="1">
      <alignment horizontal="center" vertical="top"/>
      <protection hidden="1"/>
    </xf>
    <xf numFmtId="0" fontId="5" fillId="2" borderId="5" xfId="0" applyFont="1" applyFill="1" applyBorder="1" applyAlignment="1" applyProtection="1">
      <alignment horizontal="center" vertical="top" wrapText="1"/>
      <protection hidden="1"/>
    </xf>
    <xf numFmtId="0" fontId="5" fillId="4" borderId="5" xfId="0" applyFont="1" applyFill="1" applyBorder="1" applyAlignment="1" applyProtection="1">
      <alignment horizontal="center" vertical="top"/>
      <protection hidden="1"/>
    </xf>
    <xf numFmtId="0" fontId="5" fillId="4" borderId="8" xfId="0" applyFont="1" applyFill="1" applyBorder="1" applyAlignment="1" applyProtection="1">
      <alignment horizontal="center" vertical="top"/>
      <protection hidden="1"/>
    </xf>
    <xf numFmtId="0" fontId="2" fillId="2" borderId="10" xfId="0" applyFont="1" applyFill="1" applyBorder="1" applyAlignment="1">
      <alignment horizontal="left" vertical="top"/>
    </xf>
    <xf numFmtId="9" fontId="2" fillId="2" borderId="10" xfId="1" applyFont="1" applyFill="1" applyBorder="1" applyAlignment="1">
      <alignment horizontal="center" vertical="center" wrapText="1"/>
    </xf>
    <xf numFmtId="0" fontId="4" fillId="2" borderId="10" xfId="0" applyFont="1" applyFill="1" applyBorder="1" applyAlignment="1">
      <alignment horizontal="center" vertical="top" wrapText="1"/>
    </xf>
    <xf numFmtId="0" fontId="0" fillId="7" borderId="0" xfId="0" applyFill="1"/>
    <xf numFmtId="0" fontId="0" fillId="0" borderId="0" xfId="0" applyAlignment="1">
      <alignment horizontal="left"/>
    </xf>
    <xf numFmtId="0" fontId="8" fillId="3" borderId="1" xfId="0" applyFont="1" applyFill="1" applyBorder="1" applyAlignment="1">
      <alignment horizontal="left" wrapText="1"/>
    </xf>
    <xf numFmtId="9" fontId="2" fillId="3" borderId="2" xfId="1" applyFont="1" applyFill="1" applyBorder="1" applyAlignment="1" applyProtection="1">
      <alignment horizontal="center" wrapText="1"/>
    </xf>
    <xf numFmtId="0" fontId="3" fillId="3" borderId="3" xfId="0" applyFont="1" applyFill="1" applyBorder="1" applyAlignment="1">
      <alignment horizontal="center" wrapText="1"/>
    </xf>
    <xf numFmtId="0" fontId="2" fillId="2" borderId="9" xfId="0" applyFont="1" applyFill="1" applyBorder="1" applyAlignment="1">
      <alignment horizontal="left" vertical="top" wrapText="1"/>
    </xf>
    <xf numFmtId="9" fontId="2" fillId="2" borderId="10" xfId="1" applyFont="1" applyFill="1" applyBorder="1" applyAlignment="1" applyProtection="1">
      <alignment horizontal="center" vertical="top" wrapText="1"/>
    </xf>
    <xf numFmtId="0" fontId="7" fillId="2" borderId="11" xfId="0" applyFont="1" applyFill="1" applyBorder="1" applyAlignment="1">
      <alignment horizontal="center" vertical="center" wrapText="1"/>
    </xf>
    <xf numFmtId="0" fontId="3" fillId="3" borderId="4" xfId="0" applyFont="1" applyFill="1" applyBorder="1" applyAlignment="1">
      <alignment horizontal="left" vertical="top" wrapText="1"/>
    </xf>
    <xf numFmtId="0" fontId="4" fillId="3" borderId="5" xfId="0" applyFont="1" applyFill="1" applyBorder="1" applyAlignment="1">
      <alignment horizontal="center" vertical="top"/>
    </xf>
    <xf numFmtId="0" fontId="0" fillId="0" borderId="4" xfId="0" applyBorder="1" applyAlignment="1">
      <alignment horizontal="left" vertical="top" wrapText="1"/>
    </xf>
    <xf numFmtId="0" fontId="4" fillId="0" borderId="5" xfId="0" applyFont="1" applyBorder="1" applyAlignment="1">
      <alignment horizontal="center" vertical="top"/>
    </xf>
    <xf numFmtId="0" fontId="0" fillId="0" borderId="6" xfId="0" applyBorder="1" applyAlignment="1">
      <alignment horizontal="left" vertical="top" wrapText="1"/>
    </xf>
    <xf numFmtId="0" fontId="4" fillId="0" borderId="8" xfId="0" applyFont="1" applyBorder="1" applyAlignment="1">
      <alignment horizontal="center" vertical="top"/>
    </xf>
    <xf numFmtId="0" fontId="0" fillId="5" borderId="13" xfId="0" applyFill="1" applyBorder="1"/>
    <xf numFmtId="0" fontId="0" fillId="5" borderId="12" xfId="0" applyFill="1" applyBorder="1"/>
    <xf numFmtId="0" fontId="0" fillId="5" borderId="7" xfId="0" applyFill="1" applyBorder="1"/>
    <xf numFmtId="0" fontId="10" fillId="7" borderId="14" xfId="2" applyFont="1" applyFill="1" applyBorder="1" applyAlignment="1" applyProtection="1">
      <alignment horizontal="left" vertical="top" wrapText="1"/>
    </xf>
    <xf numFmtId="0" fontId="0" fillId="7" borderId="15" xfId="0" applyFill="1" applyBorder="1"/>
    <xf numFmtId="0" fontId="0" fillId="7" borderId="16" xfId="0" applyFill="1" applyBorder="1"/>
    <xf numFmtId="0" fontId="0" fillId="5" borderId="18" xfId="0" applyFill="1" applyBorder="1"/>
    <xf numFmtId="0" fontId="11" fillId="5" borderId="0" xfId="0" applyFont="1" applyFill="1" applyAlignment="1">
      <alignment vertical="top" wrapText="1"/>
    </xf>
    <xf numFmtId="0" fontId="0" fillId="5" borderId="0" xfId="0" applyFill="1"/>
    <xf numFmtId="0" fontId="0" fillId="5" borderId="17" xfId="0" applyFill="1" applyBorder="1"/>
    <xf numFmtId="0" fontId="0" fillId="5" borderId="0" xfId="0" applyFill="1" applyAlignment="1">
      <alignment horizontal="left" wrapText="1"/>
    </xf>
    <xf numFmtId="0" fontId="0" fillId="5" borderId="18" xfId="0" applyFill="1" applyBorder="1" applyAlignment="1">
      <alignment horizontal="left"/>
    </xf>
    <xf numFmtId="0" fontId="12" fillId="0" borderId="0" xfId="0" applyFont="1" applyAlignment="1">
      <alignment horizontal="center"/>
    </xf>
    <xf numFmtId="0" fontId="0" fillId="5" borderId="0" xfId="0" applyFill="1" applyAlignment="1">
      <alignment horizontal="left"/>
    </xf>
    <xf numFmtId="0" fontId="0" fillId="5" borderId="17" xfId="0" applyFill="1" applyBorder="1" applyAlignment="1">
      <alignment horizontal="left"/>
    </xf>
    <xf numFmtId="0" fontId="12" fillId="0" borderId="0" xfId="0" applyFont="1" applyAlignment="1">
      <alignment horizontal="center" vertical="center"/>
    </xf>
    <xf numFmtId="0" fontId="0" fillId="0" borderId="0" xfId="0" applyAlignment="1" applyProtection="1">
      <alignment horizontal="left" vertical="top"/>
      <protection locked="0"/>
    </xf>
    <xf numFmtId="0" fontId="13" fillId="0" borderId="0" xfId="0" applyFont="1" applyAlignment="1">
      <alignment horizontal="center" vertical="center"/>
    </xf>
    <xf numFmtId="0" fontId="10" fillId="7" borderId="18" xfId="2" applyFont="1" applyFill="1" applyBorder="1" applyAlignment="1" applyProtection="1">
      <alignment horizontal="left" vertical="top" wrapText="1"/>
    </xf>
    <xf numFmtId="0" fontId="0" fillId="7" borderId="17" xfId="0" applyFill="1" applyBorder="1"/>
    <xf numFmtId="0" fontId="11" fillId="5" borderId="0" xfId="0" applyFont="1" applyFill="1"/>
    <xf numFmtId="0" fontId="14" fillId="5" borderId="0" xfId="0" applyFont="1" applyFill="1"/>
    <xf numFmtId="0" fontId="10" fillId="5" borderId="18" xfId="2" applyFont="1" applyFill="1" applyBorder="1" applyAlignment="1" applyProtection="1">
      <alignment horizontal="left" vertical="top" wrapText="1"/>
    </xf>
    <xf numFmtId="0" fontId="11" fillId="5" borderId="0" xfId="0" applyFont="1" applyFill="1" applyAlignment="1">
      <alignment horizontal="left" vertical="top" wrapText="1"/>
    </xf>
    <xf numFmtId="0" fontId="0" fillId="6" borderId="0" xfId="0" applyFill="1"/>
    <xf numFmtId="0" fontId="0" fillId="0" borderId="18" xfId="0" applyBorder="1"/>
    <xf numFmtId="0" fontId="0" fillId="0" borderId="17" xfId="0" applyBorder="1"/>
    <xf numFmtId="0" fontId="13" fillId="0" borderId="0" xfId="2" applyFont="1" applyAlignment="1" applyProtection="1">
      <alignment horizontal="center" vertical="center"/>
      <protection locked="0" hidden="1"/>
    </xf>
    <xf numFmtId="0" fontId="2" fillId="0" borderId="12" xfId="0" applyFont="1" applyBorder="1"/>
    <xf numFmtId="0" fontId="0" fillId="0" borderId="12" xfId="0" applyBorder="1" applyAlignment="1">
      <alignment horizontal="left" vertical="top"/>
    </xf>
    <xf numFmtId="0" fontId="2" fillId="0" borderId="0" xfId="0" applyFont="1"/>
    <xf numFmtId="0" fontId="2" fillId="0" borderId="7" xfId="0" applyFont="1" applyBorder="1"/>
    <xf numFmtId="0" fontId="0" fillId="0" borderId="7" xfId="0" applyBorder="1"/>
    <xf numFmtId="0" fontId="0" fillId="0" borderId="7" xfId="0" applyBorder="1" applyAlignment="1">
      <alignment horizontal="left" vertical="top"/>
    </xf>
    <xf numFmtId="9" fontId="1" fillId="0" borderId="7" xfId="1" applyFont="1" applyBorder="1" applyAlignment="1" applyProtection="1">
      <alignment horizontal="center" vertical="center"/>
      <protection locked="0"/>
    </xf>
    <xf numFmtId="0" fontId="4" fillId="0" borderId="7" xfId="0" applyFont="1" applyBorder="1" applyAlignment="1">
      <alignment horizontal="center" vertical="top"/>
    </xf>
    <xf numFmtId="0" fontId="2" fillId="2" borderId="19" xfId="0" applyFont="1" applyFill="1" applyBorder="1" applyAlignment="1">
      <alignment horizontal="left" vertical="top" wrapText="1"/>
    </xf>
    <xf numFmtId="0" fontId="3" fillId="3" borderId="0" xfId="0" applyFont="1" applyFill="1" applyAlignment="1">
      <alignment horizontal="left" vertical="top"/>
    </xf>
    <xf numFmtId="0" fontId="4" fillId="3" borderId="0" xfId="0" applyFont="1" applyFill="1" applyAlignment="1">
      <alignment horizontal="center" vertical="top"/>
    </xf>
    <xf numFmtId="0" fontId="4" fillId="0" borderId="0" xfId="0" applyFont="1" applyAlignment="1">
      <alignment horizontal="center" vertical="top"/>
    </xf>
    <xf numFmtId="0" fontId="0" fillId="3" borderId="0" xfId="0" applyFill="1" applyAlignment="1">
      <alignment horizontal="left" vertical="top"/>
    </xf>
    <xf numFmtId="0" fontId="2" fillId="3" borderId="4" xfId="0" applyFont="1" applyFill="1" applyBorder="1" applyAlignment="1">
      <alignment horizontal="left" vertical="top" wrapText="1"/>
    </xf>
    <xf numFmtId="0" fontId="2" fillId="3" borderId="0" xfId="0" applyFont="1" applyFill="1" applyAlignment="1">
      <alignment horizontal="left" vertical="top"/>
    </xf>
    <xf numFmtId="0" fontId="6" fillId="5" borderId="7" xfId="2" applyFill="1" applyBorder="1" applyAlignment="1" applyProtection="1">
      <alignment horizontal="left" vertical="top" wrapText="1"/>
      <protection locked="0" hidden="1"/>
    </xf>
    <xf numFmtId="0" fontId="7" fillId="5" borderId="7" xfId="0" applyFont="1" applyFill="1" applyBorder="1" applyAlignment="1">
      <alignment horizontal="left" vertical="top"/>
    </xf>
    <xf numFmtId="9" fontId="7" fillId="5" borderId="7" xfId="1" applyFont="1" applyFill="1" applyBorder="1" applyAlignment="1">
      <alignment horizontal="center" vertical="top"/>
    </xf>
    <xf numFmtId="0" fontId="7" fillId="5" borderId="7" xfId="0" applyFont="1" applyFill="1" applyBorder="1" applyAlignment="1">
      <alignment horizontal="center" vertical="top"/>
    </xf>
    <xf numFmtId="0" fontId="7" fillId="5" borderId="7" xfId="0" applyFont="1" applyFill="1" applyBorder="1" applyAlignment="1" applyProtection="1">
      <alignment horizontal="center" vertical="top"/>
      <protection hidden="1"/>
    </xf>
    <xf numFmtId="0" fontId="2" fillId="2" borderId="20" xfId="0" applyFont="1" applyFill="1" applyBorder="1" applyAlignment="1">
      <alignment horizontal="left" vertical="top" wrapText="1"/>
    </xf>
    <xf numFmtId="0" fontId="2" fillId="2" borderId="21" xfId="0" applyFont="1" applyFill="1" applyBorder="1" applyAlignment="1">
      <alignment horizontal="left" vertical="top"/>
    </xf>
    <xf numFmtId="9" fontId="2" fillId="2" borderId="21" xfId="1" applyFont="1" applyFill="1" applyBorder="1" applyAlignment="1">
      <alignment horizontal="center" vertical="top" wrapText="1"/>
    </xf>
    <xf numFmtId="0" fontId="4" fillId="2" borderId="21" xfId="0" applyFont="1" applyFill="1" applyBorder="1" applyAlignment="1">
      <alignment horizontal="center" vertical="center" wrapText="1"/>
    </xf>
    <xf numFmtId="0" fontId="2" fillId="3" borderId="12" xfId="0" applyFont="1" applyFill="1" applyBorder="1" applyAlignment="1">
      <alignment horizontal="center" wrapText="1"/>
    </xf>
    <xf numFmtId="0" fontId="4" fillId="0" borderId="0" xfId="0" applyFont="1" applyAlignment="1" applyProtection="1">
      <alignment horizontal="center" vertical="top"/>
      <protection hidden="1"/>
    </xf>
    <xf numFmtId="0" fontId="4" fillId="3" borderId="0" xfId="0" applyFont="1" applyFill="1" applyAlignment="1" applyProtection="1">
      <alignment horizontal="center" vertical="top"/>
      <protection hidden="1"/>
    </xf>
    <xf numFmtId="0" fontId="7" fillId="2" borderId="21" xfId="0" applyFont="1" applyFill="1" applyBorder="1" applyAlignment="1" applyProtection="1">
      <alignment horizontal="center" vertical="center" wrapText="1"/>
      <protection hidden="1"/>
    </xf>
    <xf numFmtId="0" fontId="4" fillId="2" borderId="10" xfId="0" applyFont="1" applyFill="1" applyBorder="1" applyAlignment="1" applyProtection="1">
      <alignment horizontal="center" vertical="top" wrapText="1"/>
      <protection hidden="1"/>
    </xf>
    <xf numFmtId="0" fontId="4" fillId="0" borderId="7" xfId="0" applyFont="1" applyBorder="1" applyAlignment="1" applyProtection="1">
      <alignment horizontal="center" vertical="top"/>
      <protection hidden="1"/>
    </xf>
    <xf numFmtId="0" fontId="0" fillId="0" borderId="4" xfId="0" applyBorder="1" applyAlignment="1" applyProtection="1">
      <alignment horizontal="left" vertical="top" wrapText="1"/>
      <protection locked="0"/>
    </xf>
    <xf numFmtId="0" fontId="7" fillId="5" borderId="0" xfId="0" applyFont="1" applyFill="1"/>
    <xf numFmtId="0" fontId="0" fillId="0" borderId="6" xfId="0" applyBorder="1" applyAlignment="1" applyProtection="1">
      <alignment horizontal="left" vertical="top" wrapText="1"/>
      <protection locked="0"/>
    </xf>
    <xf numFmtId="0" fontId="8" fillId="3" borderId="6" xfId="0" applyFont="1" applyFill="1" applyBorder="1" applyAlignment="1">
      <alignment horizontal="left" wrapText="1"/>
    </xf>
    <xf numFmtId="0" fontId="2" fillId="3" borderId="7" xfId="0" applyFont="1" applyFill="1" applyBorder="1" applyAlignment="1">
      <alignment horizontal="center"/>
    </xf>
    <xf numFmtId="9" fontId="2" fillId="3" borderId="7" xfId="1" applyFont="1" applyFill="1" applyBorder="1" applyAlignment="1">
      <alignment horizontal="center" wrapText="1"/>
    </xf>
    <xf numFmtId="0" fontId="2" fillId="3" borderId="7" xfId="0" applyFont="1" applyFill="1" applyBorder="1" applyAlignment="1">
      <alignment horizontal="center" wrapText="1"/>
    </xf>
    <xf numFmtId="0" fontId="3" fillId="3" borderId="7" xfId="0" applyFont="1" applyFill="1" applyBorder="1" applyAlignment="1" applyProtection="1">
      <alignment horizontal="center" wrapText="1"/>
      <protection hidden="1"/>
    </xf>
    <xf numFmtId="0" fontId="11" fillId="5" borderId="0" xfId="0" applyFont="1" applyFill="1" applyAlignment="1">
      <alignment vertical="top" wrapText="1"/>
    </xf>
  </cellXfs>
  <cellStyles count="3">
    <cellStyle name="Hyperlink" xfId="2" builtinId="8"/>
    <cellStyle name="Normal" xfId="0" builtinId="0"/>
    <cellStyle name="Percent" xfId="1" builtinId="5"/>
  </cellStyles>
  <dxfs count="118">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theme="6"/>
        </patternFill>
      </fill>
    </dxf>
    <dxf>
      <fill>
        <patternFill>
          <bgColor rgb="FFC00000"/>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bgColor rgb="FFC00000"/>
        </patternFill>
      </fill>
    </dxf>
    <dxf>
      <fill>
        <patternFill>
          <bgColor theme="6"/>
        </patternFill>
      </fill>
    </dxf>
    <dxf>
      <fill>
        <patternFill patternType="none">
          <fgColor indexed="64"/>
          <bgColor auto="1"/>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1"/>
        <name val="Aptos Narrow"/>
        <family val="2"/>
        <scheme val="minor"/>
      </font>
      <fill>
        <patternFill patternType="none">
          <fgColor indexed="64"/>
          <bgColor auto="1"/>
        </patternFill>
      </fill>
      <protection locked="1" hidden="0"/>
    </dxf>
    <dxf>
      <fill>
        <patternFill patternType="none">
          <fgColor indexed="64"/>
          <bgColor auto="1"/>
        </patternFill>
      </fill>
      <alignment horizontal="general" vertical="bottom" textRotation="0" wrapText="0" indent="0" justifyLastLine="0" shrinkToFit="0" readingOrder="0"/>
      <protection locked="1" hidden="0"/>
    </dxf>
    <dxf>
      <border>
        <bottom style="thin">
          <color indexed="64"/>
        </bottom>
      </border>
    </dxf>
    <dxf>
      <fill>
        <patternFill patternType="none">
          <fgColor indexed="64"/>
          <bgColor auto="1"/>
        </patternFill>
      </fill>
      <alignment horizontal="left" vertical="top" textRotation="0" wrapText="0" indent="0" justifyLastLine="0" shrinkToFit="0" readingOrder="0"/>
      <protection locked="1" hidden="0"/>
    </dxf>
    <dxf>
      <font>
        <b val="0"/>
        <i val="0"/>
        <strike val="0"/>
        <condense val="0"/>
        <extend val="0"/>
        <outline val="0"/>
        <shadow val="0"/>
        <u/>
        <vertAlign val="baseline"/>
        <sz val="15"/>
        <color theme="4"/>
        <name val="Aptos Narrow"/>
        <family val="2"/>
        <scheme val="minor"/>
      </font>
      <fill>
        <patternFill patternType="none">
          <fgColor indexed="64"/>
          <bgColor indexed="65"/>
        </patternFill>
      </fill>
      <alignment horizontal="center" vertical="center" textRotation="0" wrapText="0" indent="0" justifyLastLine="0" shrinkToFit="0" readingOrder="0"/>
      <protection locked="0" hidden="1"/>
    </dxf>
    <dxf>
      <font>
        <strike val="0"/>
        <outline val="0"/>
        <shadow val="0"/>
        <u val="none"/>
        <vertAlign val="baseline"/>
        <sz val="11"/>
        <color theme="1"/>
        <name val="Aptos Narrow"/>
        <family val="2"/>
        <scheme val="minor"/>
      </font>
      <fill>
        <patternFill patternType="none">
          <fgColor indexed="64"/>
          <bgColor indexed="65"/>
        </patternFill>
      </fill>
      <alignment horizontal="left" vertical="top" textRotation="0" wrapText="0" indent="0" justifyLastLine="0" shrinkToFit="0" readingOrder="0"/>
      <protection locked="0" hidden="0"/>
    </dxf>
    <dxf>
      <font>
        <b val="0"/>
        <strike val="0"/>
        <outline val="0"/>
        <shadow val="0"/>
        <vertAlign val="baseline"/>
        <sz val="15"/>
        <name val="Aptos Narrow"/>
        <family val="2"/>
        <scheme val="minor"/>
      </font>
      <fill>
        <patternFill patternType="none">
          <fgColor indexed="64"/>
          <bgColor indexed="65"/>
        </patternFill>
      </fill>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center" textRotation="0" wrapText="0" indent="0" justifyLastLine="0" shrinkToFit="0" readingOrder="0"/>
      <protection locked="1" hidden="0"/>
    </dxf>
    <dxf>
      <font>
        <strike val="0"/>
        <outline val="0"/>
        <shadow val="0"/>
        <vertAlign val="baseline"/>
        <sz val="15"/>
        <name val="Aptos Narrow"/>
        <family val="2"/>
        <scheme val="minor"/>
      </font>
      <alignment horizontal="center" vertical="bottom" textRotation="0" wrapText="0" indent="0" justifyLastLine="0" shrinkToFit="0" readingOrder="0"/>
      <protection locked="1" hidden="0"/>
    </dxf>
  </dxfs>
  <tableStyles count="0" defaultTableStyle="TableStyleMedium2" defaultPivotStyle="PivotStyleLight16"/>
  <colors>
    <mruColors>
      <color rgb="FFEEF5FC"/>
      <color rgb="FF156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685800</xdr:colOff>
      <xdr:row>23</xdr:row>
      <xdr:rowOff>66675</xdr:rowOff>
    </xdr:from>
    <xdr:to>
      <xdr:col>2</xdr:col>
      <xdr:colOff>685800</xdr:colOff>
      <xdr:row>26</xdr:row>
      <xdr:rowOff>152400</xdr:rowOff>
    </xdr:to>
    <xdr:cxnSp macro="">
      <xdr:nvCxnSpPr>
        <xdr:cNvPr id="6" name="Straight Connector 5">
          <a:extLst>
            <a:ext uri="{FF2B5EF4-FFF2-40B4-BE49-F238E27FC236}">
              <a16:creationId xmlns:a16="http://schemas.microsoft.com/office/drawing/2014/main" id="{E6EB6761-A41E-4511-AF12-9BABA681F933}"/>
            </a:ext>
          </a:extLst>
        </xdr:cNvPr>
        <xdr:cNvCxnSpPr/>
      </xdr:nvCxnSpPr>
      <xdr:spPr>
        <a:xfrm flipV="1">
          <a:off x="6315075" y="6219825"/>
          <a:ext cx="0" cy="173355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3419888</xdr:colOff>
      <xdr:row>22</xdr:row>
      <xdr:rowOff>7455</xdr:rowOff>
    </xdr:from>
    <xdr:ext cx="4534511" cy="327141"/>
    <xdr:sp macro="" textlink="">
      <xdr:nvSpPr>
        <xdr:cNvPr id="7" name="TextBox 6">
          <a:extLst>
            <a:ext uri="{FF2B5EF4-FFF2-40B4-BE49-F238E27FC236}">
              <a16:creationId xmlns:a16="http://schemas.microsoft.com/office/drawing/2014/main" id="{097632CF-5B00-4568-B164-1467F8FC92E5}"/>
            </a:ext>
          </a:extLst>
        </xdr:cNvPr>
        <xdr:cNvSpPr txBox="1"/>
      </xdr:nvSpPr>
      <xdr:spPr>
        <a:xfrm>
          <a:off x="4486688" y="1131405"/>
          <a:ext cx="4534511"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Answer only the questions under your area of expertise!</a:t>
          </a:r>
        </a:p>
      </xdr:txBody>
    </xdr:sp>
    <xdr:clientData/>
  </xdr:oneCellAnchor>
  <xdr:twoCellAnchor>
    <xdr:from>
      <xdr:col>4</xdr:col>
      <xdr:colOff>919369</xdr:colOff>
      <xdr:row>25</xdr:row>
      <xdr:rowOff>903619</xdr:rowOff>
    </xdr:from>
    <xdr:to>
      <xdr:col>5</xdr:col>
      <xdr:colOff>586896</xdr:colOff>
      <xdr:row>27</xdr:row>
      <xdr:rowOff>82826</xdr:rowOff>
    </xdr:to>
    <xdr:cxnSp macro="">
      <xdr:nvCxnSpPr>
        <xdr:cNvPr id="30" name="Straight Connector 29">
          <a:extLst>
            <a:ext uri="{FF2B5EF4-FFF2-40B4-BE49-F238E27FC236}">
              <a16:creationId xmlns:a16="http://schemas.microsoft.com/office/drawing/2014/main" id="{32EB4300-8AF8-40BA-944D-7A8C99F3124C}"/>
            </a:ext>
          </a:extLst>
        </xdr:cNvPr>
        <xdr:cNvCxnSpPr>
          <a:endCxn id="31" idx="1"/>
        </xdr:cNvCxnSpPr>
      </xdr:nvCxnSpPr>
      <xdr:spPr>
        <a:xfrm flipV="1">
          <a:off x="13311394" y="2275219"/>
          <a:ext cx="620027" cy="531757"/>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5</xdr:col>
      <xdr:colOff>586896</xdr:colOff>
      <xdr:row>25</xdr:row>
      <xdr:rowOff>505240</xdr:rowOff>
    </xdr:from>
    <xdr:ext cx="2061054" cy="796757"/>
    <xdr:sp macro="" textlink="">
      <xdr:nvSpPr>
        <xdr:cNvPr id="31" name="TextBox 30">
          <a:extLst>
            <a:ext uri="{FF2B5EF4-FFF2-40B4-BE49-F238E27FC236}">
              <a16:creationId xmlns:a16="http://schemas.microsoft.com/office/drawing/2014/main" id="{C47C6D8E-1CC6-4D8A-88E5-F2D81FB9F5B5}"/>
            </a:ext>
          </a:extLst>
        </xdr:cNvPr>
        <xdr:cNvSpPr txBox="1"/>
      </xdr:nvSpPr>
      <xdr:spPr>
        <a:xfrm>
          <a:off x="13931421" y="1876840"/>
          <a:ext cx="2061054" cy="796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accent1"/>
              </a:solidFill>
            </a:rPr>
            <a:t>Check whether</a:t>
          </a:r>
          <a:r>
            <a:rPr lang="en-US" sz="1500" b="1" baseline="0">
              <a:solidFill>
                <a:schemeClr val="accent1"/>
              </a:solidFill>
            </a:rPr>
            <a:t> you answered the question according to the rules!</a:t>
          </a:r>
          <a:endParaRPr lang="en-US" sz="1500" b="1">
            <a:solidFill>
              <a:schemeClr val="accent1"/>
            </a:solidFill>
          </a:endParaRPr>
        </a:p>
      </xdr:txBody>
    </xdr:sp>
    <xdr:clientData/>
  </xdr:oneCellAnchor>
  <xdr:twoCellAnchor>
    <xdr:from>
      <xdr:col>4</xdr:col>
      <xdr:colOff>919369</xdr:colOff>
      <xdr:row>26</xdr:row>
      <xdr:rowOff>82826</xdr:rowOff>
    </xdr:from>
    <xdr:to>
      <xdr:col>5</xdr:col>
      <xdr:colOff>604630</xdr:colOff>
      <xdr:row>29</xdr:row>
      <xdr:rowOff>91109</xdr:rowOff>
    </xdr:to>
    <xdr:cxnSp macro="">
      <xdr:nvCxnSpPr>
        <xdr:cNvPr id="32" name="Straight Connector 31">
          <a:extLst>
            <a:ext uri="{FF2B5EF4-FFF2-40B4-BE49-F238E27FC236}">
              <a16:creationId xmlns:a16="http://schemas.microsoft.com/office/drawing/2014/main" id="{213C41AD-EC6F-4A66-A733-C2A601E3EFD7}"/>
            </a:ext>
          </a:extLst>
        </xdr:cNvPr>
        <xdr:cNvCxnSpPr/>
      </xdr:nvCxnSpPr>
      <xdr:spPr>
        <a:xfrm flipV="1">
          <a:off x="13310152" y="2609022"/>
          <a:ext cx="637761" cy="58806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2372138</xdr:colOff>
      <xdr:row>23</xdr:row>
      <xdr:rowOff>121755</xdr:rowOff>
    </xdr:from>
    <xdr:ext cx="1506118" cy="327141"/>
    <xdr:sp macro="" textlink="">
      <xdr:nvSpPr>
        <xdr:cNvPr id="59" name="TextBox 58">
          <a:extLst>
            <a:ext uri="{FF2B5EF4-FFF2-40B4-BE49-F238E27FC236}">
              <a16:creationId xmlns:a16="http://schemas.microsoft.com/office/drawing/2014/main" id="{39613AA7-5E47-478B-ACDF-9F7F411ADCF6}"/>
            </a:ext>
          </a:extLst>
        </xdr:cNvPr>
        <xdr:cNvSpPr txBox="1"/>
      </xdr:nvSpPr>
      <xdr:spPr>
        <a:xfrm>
          <a:off x="3438938" y="1493355"/>
          <a:ext cx="150611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Follow the rules!</a:t>
          </a:r>
        </a:p>
      </xdr:txBody>
    </xdr:sp>
    <xdr:clientData/>
  </xdr:oneCellAnchor>
  <xdr:twoCellAnchor>
    <xdr:from>
      <xdr:col>1</xdr:col>
      <xdr:colOff>3028950</xdr:colOff>
      <xdr:row>24</xdr:row>
      <xdr:rowOff>172671</xdr:rowOff>
    </xdr:from>
    <xdr:to>
      <xdr:col>1</xdr:col>
      <xdr:colOff>3034637</xdr:colOff>
      <xdr:row>25</xdr:row>
      <xdr:rowOff>133350</xdr:rowOff>
    </xdr:to>
    <xdr:cxnSp macro="">
      <xdr:nvCxnSpPr>
        <xdr:cNvPr id="60" name="Straight Connector 59">
          <a:extLst>
            <a:ext uri="{FF2B5EF4-FFF2-40B4-BE49-F238E27FC236}">
              <a16:creationId xmlns:a16="http://schemas.microsoft.com/office/drawing/2014/main" id="{9E1BA908-06FE-42ED-843A-57E961F041CD}"/>
            </a:ext>
          </a:extLst>
        </xdr:cNvPr>
        <xdr:cNvCxnSpPr/>
      </xdr:nvCxnSpPr>
      <xdr:spPr>
        <a:xfrm flipV="1">
          <a:off x="4095750" y="1296621"/>
          <a:ext cx="5687" cy="208329"/>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685800</xdr:colOff>
      <xdr:row>24</xdr:row>
      <xdr:rowOff>76200</xdr:rowOff>
    </xdr:from>
    <xdr:to>
      <xdr:col>3</xdr:col>
      <xdr:colOff>695325</xdr:colOff>
      <xdr:row>28</xdr:row>
      <xdr:rowOff>123825</xdr:rowOff>
    </xdr:to>
    <xdr:cxnSp macro="">
      <xdr:nvCxnSpPr>
        <xdr:cNvPr id="8" name="Straight Connector 7">
          <a:extLst>
            <a:ext uri="{FF2B5EF4-FFF2-40B4-BE49-F238E27FC236}">
              <a16:creationId xmlns:a16="http://schemas.microsoft.com/office/drawing/2014/main" id="{9E176D16-2C50-4CBB-A719-BA89493B38BF}"/>
            </a:ext>
          </a:extLst>
        </xdr:cNvPr>
        <xdr:cNvCxnSpPr/>
      </xdr:nvCxnSpPr>
      <xdr:spPr>
        <a:xfrm flipH="1" flipV="1">
          <a:off x="9696450" y="6477000"/>
          <a:ext cx="9525" cy="1838325"/>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76200</xdr:colOff>
      <xdr:row>22</xdr:row>
      <xdr:rowOff>57150</xdr:rowOff>
    </xdr:from>
    <xdr:ext cx="3214085" cy="561949"/>
    <xdr:sp macro="" textlink="">
      <xdr:nvSpPr>
        <xdr:cNvPr id="10" name="TextBox 9">
          <a:extLst>
            <a:ext uri="{FF2B5EF4-FFF2-40B4-BE49-F238E27FC236}">
              <a16:creationId xmlns:a16="http://schemas.microsoft.com/office/drawing/2014/main" id="{E5E738C3-4AFA-4CFD-87FD-F2E51A025C61}"/>
            </a:ext>
          </a:extLst>
        </xdr:cNvPr>
        <xdr:cNvSpPr txBox="1"/>
      </xdr:nvSpPr>
      <xdr:spPr>
        <a:xfrm>
          <a:off x="9086850" y="5962650"/>
          <a:ext cx="3214085"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500" b="1">
              <a:solidFill>
                <a:schemeClr val="accent1"/>
              </a:solidFill>
            </a:rPr>
            <a:t>The</a:t>
          </a:r>
          <a:r>
            <a:rPr lang="en-US" sz="1500" b="1" baseline="0">
              <a:solidFill>
                <a:schemeClr val="accent1"/>
              </a:solidFill>
            </a:rPr>
            <a:t> questions may be difficult, but</a:t>
          </a:r>
        </a:p>
        <a:p>
          <a:r>
            <a:rPr lang="en-US" sz="1500" b="1" baseline="0">
              <a:solidFill>
                <a:schemeClr val="accent1"/>
              </a:solidFill>
            </a:rPr>
            <a:t>please share your best approximation!</a:t>
          </a:r>
          <a:endParaRPr lang="en-US" sz="1500" b="1">
            <a:solidFill>
              <a:schemeClr val="accent1"/>
            </a:solidFill>
          </a:endParaRPr>
        </a:p>
      </xdr:txBody>
    </xdr:sp>
    <xdr:clientData/>
  </xdr:oneCellAnchor>
  <xdr:twoCellAnchor editAs="oneCell">
    <xdr:from>
      <xdr:col>0</xdr:col>
      <xdr:colOff>1053353</xdr:colOff>
      <xdr:row>38</xdr:row>
      <xdr:rowOff>16299</xdr:rowOff>
    </xdr:from>
    <xdr:to>
      <xdr:col>2</xdr:col>
      <xdr:colOff>315204</xdr:colOff>
      <xdr:row>49</xdr:row>
      <xdr:rowOff>188799</xdr:rowOff>
    </xdr:to>
    <xdr:pic>
      <xdr:nvPicPr>
        <xdr:cNvPr id="13" name="Picture 12">
          <a:extLst>
            <a:ext uri="{FF2B5EF4-FFF2-40B4-BE49-F238E27FC236}">
              <a16:creationId xmlns:a16="http://schemas.microsoft.com/office/drawing/2014/main" id="{9E6F26A3-CF26-4795-1F2C-23977B181274}"/>
            </a:ext>
          </a:extLst>
        </xdr:cNvPr>
        <xdr:cNvPicPr>
          <a:picLocks noChangeAspect="1"/>
        </xdr:cNvPicPr>
      </xdr:nvPicPr>
      <xdr:blipFill>
        <a:blip xmlns:r="http://schemas.openxmlformats.org/officeDocument/2006/relationships" r:embed="rId1"/>
        <a:stretch>
          <a:fillRect/>
        </a:stretch>
      </xdr:blipFill>
      <xdr:spPr>
        <a:xfrm>
          <a:off x="1053353" y="9294770"/>
          <a:ext cx="5043526" cy="2268000"/>
        </a:xfrm>
        <a:prstGeom prst="rect">
          <a:avLst/>
        </a:prstGeom>
      </xdr:spPr>
    </xdr:pic>
    <xdr:clientData/>
  </xdr:twoCellAnchor>
  <xdr:twoCellAnchor editAs="oneCell">
    <xdr:from>
      <xdr:col>2</xdr:col>
      <xdr:colOff>784412</xdr:colOff>
      <xdr:row>38</xdr:row>
      <xdr:rowOff>11206</xdr:rowOff>
    </xdr:from>
    <xdr:to>
      <xdr:col>3</xdr:col>
      <xdr:colOff>2458282</xdr:colOff>
      <xdr:row>49</xdr:row>
      <xdr:rowOff>183706</xdr:rowOff>
    </xdr:to>
    <xdr:pic>
      <xdr:nvPicPr>
        <xdr:cNvPr id="14" name="Picture 13">
          <a:extLst>
            <a:ext uri="{FF2B5EF4-FFF2-40B4-BE49-F238E27FC236}">
              <a16:creationId xmlns:a16="http://schemas.microsoft.com/office/drawing/2014/main" id="{11FA3184-DD59-87C1-770D-6B2469F4C86D}"/>
            </a:ext>
          </a:extLst>
        </xdr:cNvPr>
        <xdr:cNvPicPr>
          <a:picLocks noChangeAspect="1"/>
        </xdr:cNvPicPr>
      </xdr:nvPicPr>
      <xdr:blipFill>
        <a:blip xmlns:r="http://schemas.openxmlformats.org/officeDocument/2006/relationships" r:embed="rId2"/>
        <a:stretch>
          <a:fillRect/>
        </a:stretch>
      </xdr:blipFill>
      <xdr:spPr>
        <a:xfrm>
          <a:off x="6409765" y="9289677"/>
          <a:ext cx="5058046" cy="22680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08D1C1-849F-4843-9B82-1172F208988A}" name="Table5" displayName="Table5" ref="B9:D18" totalsRowShown="0" headerRowDxfId="117" dataDxfId="116">
  <autoFilter ref="B9:D18" xr:uid="{4108D1C1-849F-4843-9B82-1172F208988A}">
    <filterColumn colId="0" hiddenButton="1"/>
    <filterColumn colId="1" hiddenButton="1"/>
    <filterColumn colId="2" hiddenButton="1"/>
  </autoFilter>
  <tableColumns count="3">
    <tableColumn id="1" xr3:uid="{9403AC71-9791-4CE8-90F1-8673362C49A9}" name="Topics" dataDxfId="115"/>
    <tableColumn id="2" xr3:uid="{D77A0A26-87D7-411B-B160-A2BD9F542E1D}" name="Explanation" dataDxfId="114"/>
    <tableColumn id="3" xr3:uid="{304BD4C8-F3B9-4BD1-BB4F-FCD5D614D8BD}" name="Link to questions" dataDxfId="11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B065F-083C-4251-B032-BF8885966ED2}" name="Table2" displayName="Table2" ref="B56:C80" totalsRowShown="0" headerRowDxfId="112" dataDxfId="110" headerRowBorderDxfId="111">
  <autoFilter ref="B56:C80" xr:uid="{E38B065F-083C-4251-B032-BF8885966ED2}">
    <filterColumn colId="0" hiddenButton="1"/>
    <filterColumn colId="1" hiddenButton="1"/>
  </autoFilter>
  <sortState xmlns:xlrd2="http://schemas.microsoft.com/office/spreadsheetml/2017/richdata2" ref="B57:C80">
    <sortCondition ref="B57:B81"/>
  </sortState>
  <tableColumns count="2">
    <tableColumn id="1" xr3:uid="{259B595E-5F62-49A5-8FCD-9D1FD7A15285}" name="Terms" dataDxfId="109"/>
    <tableColumn id="2" xr3:uid="{D58C941C-33B1-4B79-8EF2-55BDD4E8172B}" name="Definitions" dataDxfId="108"/>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9480-9448-4D95-9320-83D5C18F802F}">
  <sheetPr codeName="Sheet1"/>
  <dimension ref="A1:J83"/>
  <sheetViews>
    <sheetView zoomScale="85" zoomScaleNormal="85" workbookViewId="0">
      <selection activeCell="C10" sqref="C10"/>
    </sheetView>
  </sheetViews>
  <sheetFormatPr defaultColWidth="0" defaultRowHeight="15" zeroHeight="1" x14ac:dyDescent="0.25"/>
  <cols>
    <col min="1" max="1" width="12" style="77" customWidth="1"/>
    <col min="2" max="2" width="71" customWidth="1"/>
    <col min="3" max="4" width="50.7109375" customWidth="1"/>
    <col min="5" max="5" width="14.28515625" customWidth="1"/>
    <col min="6" max="9" width="9.140625" customWidth="1"/>
    <col min="10" max="10" width="9.140625" style="78" customWidth="1"/>
    <col min="11" max="16384" width="9.140625" hidden="1"/>
  </cols>
  <sheetData>
    <row r="1" spans="1:10" s="38" customFormat="1" ht="5.25" customHeight="1" x14ac:dyDescent="0.25">
      <c r="A1" s="55"/>
      <c r="B1" s="56"/>
      <c r="C1" s="56"/>
      <c r="D1" s="56"/>
      <c r="E1" s="56"/>
      <c r="F1" s="56"/>
      <c r="G1" s="56"/>
      <c r="H1" s="56"/>
      <c r="I1" s="56"/>
      <c r="J1" s="57"/>
    </row>
    <row r="2" spans="1:10" x14ac:dyDescent="0.25">
      <c r="A2" s="58"/>
      <c r="B2" s="60"/>
      <c r="C2" s="60"/>
      <c r="D2" s="60"/>
      <c r="E2" s="60"/>
      <c r="F2" s="60"/>
      <c r="G2" s="60"/>
      <c r="H2" s="60"/>
      <c r="I2" s="60"/>
      <c r="J2" s="61"/>
    </row>
    <row r="3" spans="1:10" ht="159.75" customHeight="1" x14ac:dyDescent="0.25">
      <c r="A3" s="58"/>
      <c r="B3" s="118" t="s">
        <v>277</v>
      </c>
      <c r="C3" s="118"/>
      <c r="D3" s="118"/>
      <c r="E3" s="60"/>
      <c r="F3" s="60"/>
      <c r="G3" s="60"/>
      <c r="H3" s="60"/>
      <c r="I3" s="60"/>
      <c r="J3" s="61"/>
    </row>
    <row r="4" spans="1:10" x14ac:dyDescent="0.25">
      <c r="A4" s="58"/>
      <c r="B4" s="60"/>
      <c r="C4" s="60"/>
      <c r="D4" s="60"/>
      <c r="E4" s="60"/>
      <c r="F4" s="60"/>
      <c r="G4" s="60"/>
      <c r="H4" s="60"/>
      <c r="I4" s="60"/>
      <c r="J4" s="61"/>
    </row>
    <row r="5" spans="1:10" s="38" customFormat="1" ht="5.25" customHeight="1" x14ac:dyDescent="0.25">
      <c r="A5" s="55"/>
      <c r="B5" s="56"/>
      <c r="C5" s="56"/>
      <c r="D5" s="56"/>
      <c r="E5" s="56"/>
      <c r="F5" s="56"/>
      <c r="G5" s="56"/>
      <c r="H5" s="56"/>
      <c r="I5" s="56"/>
      <c r="J5" s="57"/>
    </row>
    <row r="6" spans="1:10" ht="19.5" x14ac:dyDescent="0.25">
      <c r="A6" s="58"/>
      <c r="B6" s="59"/>
      <c r="C6" s="59"/>
      <c r="D6" s="59"/>
      <c r="E6" s="60"/>
      <c r="F6" s="60"/>
      <c r="G6" s="60"/>
      <c r="H6" s="60"/>
      <c r="I6" s="60"/>
      <c r="J6" s="61"/>
    </row>
    <row r="7" spans="1:10" ht="42" customHeight="1" x14ac:dyDescent="0.25">
      <c r="A7" s="58"/>
      <c r="B7" s="118" t="s">
        <v>237</v>
      </c>
      <c r="C7" s="118"/>
      <c r="D7" s="118"/>
      <c r="E7" s="60"/>
      <c r="F7" s="60"/>
      <c r="G7" s="60"/>
      <c r="H7" s="60"/>
      <c r="I7" s="60"/>
      <c r="J7" s="61"/>
    </row>
    <row r="8" spans="1:10" x14ac:dyDescent="0.25">
      <c r="A8" s="58"/>
      <c r="B8" s="62"/>
      <c r="C8" s="62"/>
      <c r="D8" s="62"/>
      <c r="E8" s="60"/>
      <c r="F8" s="60"/>
      <c r="G8" s="60"/>
      <c r="H8" s="60"/>
      <c r="I8" s="60"/>
      <c r="J8" s="61"/>
    </row>
    <row r="9" spans="1:10" s="39" customFormat="1" ht="19.5" x14ac:dyDescent="0.3">
      <c r="A9" s="63"/>
      <c r="B9" s="64" t="s">
        <v>234</v>
      </c>
      <c r="C9" s="64" t="s">
        <v>235</v>
      </c>
      <c r="D9" s="64" t="s">
        <v>236</v>
      </c>
      <c r="E9" s="65"/>
      <c r="F9" s="65"/>
      <c r="G9" s="65"/>
      <c r="H9" s="65"/>
      <c r="I9" s="65"/>
      <c r="J9" s="66"/>
    </row>
    <row r="10" spans="1:10" ht="30" customHeight="1" x14ac:dyDescent="0.25">
      <c r="A10" s="58"/>
      <c r="B10" s="67" t="s">
        <v>172</v>
      </c>
      <c r="C10" s="68"/>
      <c r="D10" s="79" t="str" cm="1">
        <f t="array" aca="1" ref="D10" ca="1">HYPERLINK(CELL("address",questions!$E$5), "Questions 1-8")</f>
        <v>Questions 1-8</v>
      </c>
      <c r="E10" s="60"/>
      <c r="F10" s="60"/>
      <c r="G10" s="60"/>
      <c r="H10" s="60"/>
      <c r="I10" s="60"/>
      <c r="J10" s="60"/>
    </row>
    <row r="11" spans="1:10" ht="30" customHeight="1" x14ac:dyDescent="0.25">
      <c r="A11" s="58"/>
      <c r="B11" s="67" t="s">
        <v>173</v>
      </c>
      <c r="C11" s="68"/>
      <c r="D11" s="79" t="str" cm="1">
        <f t="array" aca="1" ref="D11" ca="1">HYPERLINK(CELL("address",questions!$E$35), "Questions 9-12")</f>
        <v>Questions 9-12</v>
      </c>
      <c r="E11" s="60"/>
      <c r="F11" s="60"/>
      <c r="G11" s="60"/>
      <c r="H11" s="60"/>
      <c r="I11" s="60"/>
      <c r="J11" s="60"/>
    </row>
    <row r="12" spans="1:10" ht="30" customHeight="1" x14ac:dyDescent="0.25">
      <c r="A12" s="58"/>
      <c r="B12" s="67" t="s">
        <v>174</v>
      </c>
      <c r="C12" s="68"/>
      <c r="D12" s="79" t="str" cm="1">
        <f t="array" aca="1" ref="D12" ca="1">HYPERLINK(CELL("address",questions!$E$50), "Questions 13-14")</f>
        <v>Questions 13-14</v>
      </c>
      <c r="E12" s="60"/>
      <c r="F12" s="60"/>
      <c r="G12" s="60"/>
      <c r="H12" s="60"/>
      <c r="I12" s="60"/>
      <c r="J12" s="60"/>
    </row>
    <row r="13" spans="1:10" ht="30" customHeight="1" x14ac:dyDescent="0.25">
      <c r="A13" s="58"/>
      <c r="B13" s="67" t="s">
        <v>88</v>
      </c>
      <c r="C13" s="68"/>
      <c r="D13" s="79" t="str" cm="1">
        <f t="array" aca="1" ref="D13" ca="1">HYPERLINK(CELL("address",questions!$E$60), "Questions 15-21")</f>
        <v>Questions 15-21</v>
      </c>
      <c r="E13" s="60"/>
      <c r="F13" s="60"/>
      <c r="G13" s="60"/>
      <c r="H13" s="60"/>
      <c r="I13" s="60"/>
      <c r="J13" s="60"/>
    </row>
    <row r="14" spans="1:10" ht="30" customHeight="1" x14ac:dyDescent="0.25">
      <c r="A14" s="58"/>
      <c r="B14" s="67" t="s">
        <v>308</v>
      </c>
      <c r="C14" s="68"/>
      <c r="D14" s="79" t="str" cm="1">
        <f t="array" aca="1" ref="D14" ca="1">HYPERLINK(CELL("address",questions!$E$82), "Questions 22-24")</f>
        <v>Questions 22-24</v>
      </c>
      <c r="E14" s="60"/>
      <c r="F14" s="60"/>
      <c r="G14" s="60"/>
      <c r="H14" s="60"/>
      <c r="I14" s="60"/>
      <c r="J14" s="60"/>
    </row>
    <row r="15" spans="1:10" ht="30" customHeight="1" x14ac:dyDescent="0.25">
      <c r="A15" s="58"/>
      <c r="B15" s="67" t="s">
        <v>293</v>
      </c>
      <c r="C15" s="68"/>
      <c r="D15" s="79" t="str" cm="1">
        <f t="array" aca="1" ref="D15" ca="1">HYPERLINK(CELL("address",questions!$E$93), "Questions 25-29")</f>
        <v>Questions 25-29</v>
      </c>
      <c r="E15" s="60"/>
      <c r="F15" s="60"/>
      <c r="G15" s="60"/>
      <c r="H15" s="60"/>
      <c r="I15" s="60"/>
      <c r="J15" s="60"/>
    </row>
    <row r="16" spans="1:10" ht="30" customHeight="1" x14ac:dyDescent="0.25">
      <c r="A16" s="58"/>
      <c r="B16" s="67" t="s">
        <v>278</v>
      </c>
      <c r="C16" s="68"/>
      <c r="D16" s="79" t="str" cm="1">
        <f t="array" aca="1" ref="D16" ca="1">HYPERLINK(CELL("address",questions!$E$112), "Questions 30-42")</f>
        <v>Questions 30-42</v>
      </c>
      <c r="E16" s="60"/>
      <c r="F16" s="60"/>
      <c r="G16" s="60"/>
      <c r="H16" s="60"/>
      <c r="I16" s="60"/>
      <c r="J16" s="60"/>
    </row>
    <row r="17" spans="1:10" ht="30" customHeight="1" x14ac:dyDescent="0.25">
      <c r="A17" s="58"/>
      <c r="B17" s="67" t="s">
        <v>298</v>
      </c>
      <c r="C17" s="68"/>
      <c r="D17" s="79" t="str" cm="1">
        <f t="array" aca="1" ref="D17" ca="1">HYPERLINK(CELL("address",questions!$E$139), "Questions 43-49")</f>
        <v>Questions 43-49</v>
      </c>
      <c r="E17" s="60"/>
      <c r="F17" s="60"/>
      <c r="G17" s="60"/>
      <c r="H17" s="60"/>
      <c r="I17" s="60"/>
      <c r="J17" s="60"/>
    </row>
    <row r="18" spans="1:10" ht="30" customHeight="1" x14ac:dyDescent="0.25">
      <c r="A18" s="58"/>
      <c r="B18" s="67" t="s">
        <v>294</v>
      </c>
      <c r="C18" s="68"/>
      <c r="D18" s="79" t="str" cm="1">
        <f t="array" aca="1" ref="D18" ca="1">HYPERLINK(CELL("address",questions!$E$167), "Questions 50-53")</f>
        <v>Questions 50-53</v>
      </c>
      <c r="E18" s="60"/>
      <c r="F18" s="60"/>
      <c r="G18" s="60"/>
      <c r="H18" s="60"/>
      <c r="I18" s="60"/>
      <c r="J18" s="60"/>
    </row>
    <row r="19" spans="1:10" ht="30" customHeight="1" x14ac:dyDescent="0.25">
      <c r="A19" s="58"/>
      <c r="B19" s="67"/>
      <c r="C19" s="5"/>
      <c r="D19" s="69"/>
      <c r="E19" s="60"/>
      <c r="F19" s="60"/>
      <c r="G19" s="60"/>
      <c r="H19" s="60"/>
      <c r="I19" s="60"/>
      <c r="J19" s="61"/>
    </row>
    <row r="20" spans="1:10" s="38" customFormat="1" ht="5.25" customHeight="1" x14ac:dyDescent="0.25">
      <c r="A20" s="70"/>
      <c r="J20" s="71"/>
    </row>
    <row r="21" spans="1:10" ht="19.5" x14ac:dyDescent="0.3">
      <c r="A21" s="58"/>
      <c r="B21" s="72"/>
      <c r="C21" s="60"/>
      <c r="D21" s="60"/>
      <c r="E21" s="60"/>
      <c r="F21" s="60"/>
      <c r="G21" s="60"/>
      <c r="H21" s="60"/>
      <c r="I21" s="60"/>
      <c r="J21" s="61"/>
    </row>
    <row r="22" spans="1:10" ht="19.5" x14ac:dyDescent="0.3">
      <c r="A22" s="58"/>
      <c r="B22" s="73" t="s">
        <v>246</v>
      </c>
      <c r="C22" s="60"/>
      <c r="D22" s="60"/>
      <c r="E22" s="60"/>
      <c r="F22" s="60"/>
      <c r="G22" s="60"/>
      <c r="H22" s="60"/>
      <c r="I22" s="60"/>
      <c r="J22" s="61"/>
    </row>
    <row r="23" spans="1:10" ht="19.5" x14ac:dyDescent="0.3">
      <c r="A23" s="58"/>
      <c r="B23" s="72"/>
      <c r="C23" s="60"/>
      <c r="D23" s="60"/>
      <c r="E23" s="60"/>
      <c r="F23" s="60"/>
      <c r="G23" s="60"/>
      <c r="H23" s="60"/>
      <c r="I23" s="60"/>
      <c r="J23" s="61"/>
    </row>
    <row r="24" spans="1:10" ht="19.5" x14ac:dyDescent="0.3">
      <c r="A24" s="58"/>
      <c r="B24" s="72"/>
      <c r="C24" s="60"/>
      <c r="D24" s="60"/>
      <c r="E24" s="60"/>
      <c r="F24" s="60"/>
      <c r="G24" s="60"/>
      <c r="H24" s="60"/>
      <c r="I24" s="60"/>
      <c r="J24" s="61"/>
    </row>
    <row r="25" spans="1:10" ht="19.5" x14ac:dyDescent="0.3">
      <c r="A25" s="58"/>
      <c r="B25" s="72"/>
      <c r="C25" s="60"/>
      <c r="D25" s="60"/>
      <c r="E25" s="60"/>
      <c r="F25" s="60"/>
      <c r="G25" s="60"/>
      <c r="H25" s="60"/>
      <c r="I25" s="60"/>
      <c r="J25" s="61"/>
    </row>
    <row r="26" spans="1:10" ht="90.75" thickBot="1" x14ac:dyDescent="0.3">
      <c r="A26" s="58"/>
      <c r="B26" s="40" t="s">
        <v>233</v>
      </c>
      <c r="C26" s="41" t="s">
        <v>238</v>
      </c>
      <c r="D26" s="41" t="s">
        <v>239</v>
      </c>
      <c r="E26" s="42" t="s">
        <v>171</v>
      </c>
      <c r="F26" s="60"/>
      <c r="G26" s="60"/>
      <c r="H26" s="60"/>
      <c r="I26" s="60"/>
      <c r="J26" s="61"/>
    </row>
    <row r="27" spans="1:10" ht="15.75" thickBot="1" x14ac:dyDescent="0.3">
      <c r="A27" s="58"/>
      <c r="B27" s="43" t="s">
        <v>241</v>
      </c>
      <c r="C27" s="44"/>
      <c r="D27" s="44"/>
      <c r="E27" s="45"/>
      <c r="F27" s="60"/>
      <c r="G27" s="60"/>
      <c r="H27" s="60"/>
      <c r="I27" s="60"/>
      <c r="J27" s="61"/>
    </row>
    <row r="28" spans="1:10" x14ac:dyDescent="0.25">
      <c r="A28" s="58"/>
      <c r="B28" s="46" t="s">
        <v>98</v>
      </c>
      <c r="C28" s="20"/>
      <c r="D28" s="20"/>
      <c r="E28" s="47" t="b">
        <f>E29</f>
        <v>1</v>
      </c>
      <c r="F28" s="60"/>
      <c r="G28" s="60"/>
      <c r="H28" s="60"/>
      <c r="I28" s="60"/>
      <c r="J28" s="61"/>
    </row>
    <row r="29" spans="1:10" x14ac:dyDescent="0.25">
      <c r="A29" s="74"/>
      <c r="B29" s="48" t="s">
        <v>242</v>
      </c>
      <c r="C29" s="21">
        <v>0.05</v>
      </c>
      <c r="D29" s="21">
        <v>0.1</v>
      </c>
      <c r="E29" s="49" t="b">
        <f>AND(C29&gt;=0, C29&lt;=D29, D29&lt;=1)</f>
        <v>1</v>
      </c>
      <c r="F29" s="60"/>
      <c r="G29" s="60"/>
      <c r="H29" s="60"/>
      <c r="I29" s="60"/>
      <c r="J29" s="61"/>
    </row>
    <row r="30" spans="1:10" x14ac:dyDescent="0.25">
      <c r="A30" s="74"/>
      <c r="B30" s="46" t="s">
        <v>99</v>
      </c>
      <c r="C30" s="24" t="s">
        <v>217</v>
      </c>
      <c r="D30" s="24" t="s">
        <v>217</v>
      </c>
      <c r="E30" s="47" t="b">
        <f>AND(E31,E32,E33,SUM(C31:C33)&lt;=1,SUM(D31:D33)&gt;=1)</f>
        <v>1</v>
      </c>
      <c r="F30" s="60"/>
      <c r="G30" s="60"/>
      <c r="H30" s="60"/>
      <c r="I30" s="60"/>
      <c r="J30" s="61"/>
    </row>
    <row r="31" spans="1:10" ht="30" x14ac:dyDescent="0.25">
      <c r="A31" s="74"/>
      <c r="B31" s="48" t="s">
        <v>244</v>
      </c>
      <c r="C31" s="21">
        <v>0.5</v>
      </c>
      <c r="D31" s="21">
        <v>0.8</v>
      </c>
      <c r="E31" s="49" t="b">
        <f>AND(C31&gt;=0, C31&lt;=D31, D31&lt;=1)</f>
        <v>1</v>
      </c>
      <c r="F31" s="60"/>
      <c r="G31" s="60"/>
      <c r="H31" s="60"/>
      <c r="I31" s="60"/>
      <c r="J31" s="61"/>
    </row>
    <row r="32" spans="1:10" x14ac:dyDescent="0.25">
      <c r="A32" s="74"/>
      <c r="B32" s="48" t="s">
        <v>240</v>
      </c>
      <c r="C32" s="21">
        <v>0.3</v>
      </c>
      <c r="D32" s="21">
        <v>0.5</v>
      </c>
      <c r="E32" s="49" t="b">
        <f>AND(C32&gt;=0, C32&lt;=D32, D32&lt;=1)</f>
        <v>1</v>
      </c>
      <c r="F32" s="60"/>
      <c r="G32" s="60"/>
      <c r="H32" s="60"/>
      <c r="I32" s="60"/>
      <c r="J32" s="61"/>
    </row>
    <row r="33" spans="1:10" x14ac:dyDescent="0.25">
      <c r="A33" s="74"/>
      <c r="B33" s="50" t="s">
        <v>243</v>
      </c>
      <c r="C33" s="29">
        <v>0</v>
      </c>
      <c r="D33" s="29">
        <v>0.05</v>
      </c>
      <c r="E33" s="51" t="b">
        <f>AND(C33&gt;=0, C33&lt;=D33, D33&lt;=1)</f>
        <v>1</v>
      </c>
      <c r="F33" s="60"/>
      <c r="G33" s="60"/>
      <c r="H33" s="60"/>
      <c r="I33" s="60"/>
      <c r="J33" s="61"/>
    </row>
    <row r="34" spans="1:10" x14ac:dyDescent="0.25">
      <c r="A34" s="74"/>
      <c r="B34" s="60"/>
      <c r="C34" s="60"/>
      <c r="D34" s="60"/>
      <c r="E34" s="60"/>
      <c r="F34" s="60"/>
      <c r="G34" s="60"/>
      <c r="H34" s="60"/>
      <c r="I34" s="60"/>
      <c r="J34" s="61"/>
    </row>
    <row r="35" spans="1:10" s="38" customFormat="1" ht="5.25" customHeight="1" x14ac:dyDescent="0.25">
      <c r="A35" s="70"/>
      <c r="J35" s="71"/>
    </row>
    <row r="36" spans="1:10" x14ac:dyDescent="0.25">
      <c r="A36" s="74"/>
      <c r="B36" s="60"/>
      <c r="C36" s="60"/>
      <c r="D36" s="60"/>
      <c r="E36" s="60"/>
      <c r="F36" s="60"/>
      <c r="G36" s="60"/>
      <c r="H36" s="60"/>
      <c r="I36" s="60"/>
      <c r="J36" s="61"/>
    </row>
    <row r="37" spans="1:10" ht="19.5" x14ac:dyDescent="0.25">
      <c r="A37" s="74"/>
      <c r="B37" s="75" t="s">
        <v>245</v>
      </c>
      <c r="C37" s="60"/>
      <c r="D37" s="60"/>
      <c r="E37" s="60"/>
      <c r="F37" s="60"/>
      <c r="G37" s="60"/>
      <c r="H37" s="60"/>
      <c r="I37" s="60"/>
      <c r="J37" s="61"/>
    </row>
    <row r="38" spans="1:10" x14ac:dyDescent="0.25">
      <c r="A38" s="74"/>
      <c r="B38" s="60"/>
      <c r="C38" s="60"/>
      <c r="D38" s="60"/>
      <c r="E38" s="60"/>
      <c r="F38" s="60"/>
      <c r="G38" s="60"/>
      <c r="H38" s="60"/>
      <c r="I38" s="60"/>
      <c r="J38" s="61"/>
    </row>
    <row r="39" spans="1:10" x14ac:dyDescent="0.25">
      <c r="A39" s="74"/>
      <c r="B39" s="60"/>
      <c r="C39" s="60"/>
      <c r="D39" s="60"/>
      <c r="E39" s="60"/>
      <c r="F39" s="60"/>
      <c r="G39" s="60"/>
      <c r="H39" s="60"/>
      <c r="I39" s="60"/>
      <c r="J39" s="61"/>
    </row>
    <row r="40" spans="1:10" x14ac:dyDescent="0.25">
      <c r="A40" s="74"/>
      <c r="B40" s="60"/>
      <c r="C40" s="60"/>
      <c r="D40" s="60"/>
      <c r="E40" s="60"/>
      <c r="F40" s="60"/>
      <c r="G40" s="60"/>
      <c r="H40" s="60"/>
      <c r="I40" s="60"/>
      <c r="J40" s="61"/>
    </row>
    <row r="41" spans="1:10" x14ac:dyDescent="0.25">
      <c r="A41" s="74"/>
      <c r="B41" s="60"/>
      <c r="C41" s="60"/>
      <c r="D41" s="60"/>
      <c r="E41" s="60"/>
      <c r="F41" s="60"/>
      <c r="G41" s="60"/>
      <c r="H41" s="60"/>
      <c r="I41" s="60"/>
      <c r="J41" s="61"/>
    </row>
    <row r="42" spans="1:10" x14ac:dyDescent="0.25">
      <c r="A42" s="74"/>
      <c r="B42" s="60"/>
      <c r="C42" s="60"/>
      <c r="D42" s="60"/>
      <c r="E42" s="60"/>
      <c r="F42" s="60"/>
      <c r="G42" s="60"/>
      <c r="H42" s="60"/>
      <c r="I42" s="60"/>
      <c r="J42" s="61"/>
    </row>
    <row r="43" spans="1:10" x14ac:dyDescent="0.25">
      <c r="A43" s="74"/>
      <c r="B43" s="60"/>
      <c r="C43" s="60"/>
      <c r="D43" s="60"/>
      <c r="E43" s="60"/>
      <c r="F43" s="60"/>
      <c r="G43" s="60"/>
      <c r="H43" s="60"/>
      <c r="I43" s="60"/>
      <c r="J43" s="61"/>
    </row>
    <row r="44" spans="1:10" x14ac:dyDescent="0.25">
      <c r="A44" s="74"/>
      <c r="B44" s="60"/>
      <c r="C44" s="60"/>
      <c r="D44" s="60"/>
      <c r="E44" s="60"/>
      <c r="F44" s="60"/>
      <c r="G44" s="60"/>
      <c r="H44" s="60"/>
      <c r="I44" s="60"/>
      <c r="J44" s="61"/>
    </row>
    <row r="45" spans="1:10" x14ac:dyDescent="0.25">
      <c r="A45" s="74"/>
      <c r="B45" s="60"/>
      <c r="C45" s="60"/>
      <c r="D45" s="60"/>
      <c r="E45" s="60"/>
      <c r="F45" s="60"/>
      <c r="G45" s="60"/>
      <c r="H45" s="60"/>
      <c r="I45" s="60"/>
      <c r="J45" s="61"/>
    </row>
    <row r="46" spans="1:10" x14ac:dyDescent="0.25">
      <c r="A46" s="74"/>
      <c r="B46" s="60"/>
      <c r="C46" s="60"/>
      <c r="D46" s="60"/>
      <c r="E46" s="60"/>
      <c r="F46" s="60"/>
      <c r="G46" s="60"/>
      <c r="H46" s="60"/>
      <c r="I46" s="60"/>
      <c r="J46" s="61"/>
    </row>
    <row r="47" spans="1:10" x14ac:dyDescent="0.25">
      <c r="A47" s="74"/>
      <c r="B47" s="60"/>
      <c r="C47" s="60"/>
      <c r="D47" s="60"/>
      <c r="E47" s="60"/>
      <c r="F47" s="60"/>
      <c r="G47" s="60"/>
      <c r="H47" s="60"/>
      <c r="I47" s="60"/>
      <c r="J47" s="61"/>
    </row>
    <row r="48" spans="1:10" x14ac:dyDescent="0.25">
      <c r="A48" s="74"/>
      <c r="B48" s="60"/>
      <c r="C48" s="60"/>
      <c r="D48" s="60"/>
      <c r="E48" s="60"/>
      <c r="F48" s="60"/>
      <c r="G48" s="60"/>
      <c r="H48" s="60"/>
      <c r="I48" s="60"/>
      <c r="J48" s="61"/>
    </row>
    <row r="49" spans="1:10" x14ac:dyDescent="0.25">
      <c r="A49" s="74"/>
      <c r="B49" s="60"/>
      <c r="C49" s="60"/>
      <c r="D49" s="60"/>
      <c r="E49" s="60"/>
      <c r="F49" s="60"/>
      <c r="G49" s="60"/>
      <c r="H49" s="60"/>
      <c r="I49" s="60"/>
      <c r="J49" s="61"/>
    </row>
    <row r="50" spans="1:10" x14ac:dyDescent="0.25">
      <c r="A50" s="74"/>
      <c r="B50" s="60"/>
      <c r="C50" s="60"/>
      <c r="D50" s="60"/>
      <c r="E50" s="60"/>
      <c r="F50" s="60"/>
      <c r="G50" s="60"/>
      <c r="H50" s="60"/>
      <c r="I50" s="60"/>
      <c r="J50" s="61"/>
    </row>
    <row r="51" spans="1:10" x14ac:dyDescent="0.25">
      <c r="A51" s="74"/>
      <c r="B51" s="60"/>
      <c r="C51" s="60"/>
      <c r="D51" s="60"/>
      <c r="E51" s="60"/>
      <c r="F51" s="60"/>
      <c r="G51" s="60"/>
      <c r="H51" s="60"/>
      <c r="I51" s="60"/>
      <c r="J51" s="61"/>
    </row>
    <row r="52" spans="1:10" s="38" customFormat="1" ht="5.25" customHeight="1" x14ac:dyDescent="0.25">
      <c r="A52" s="70"/>
      <c r="J52" s="71"/>
    </row>
    <row r="53" spans="1:10" x14ac:dyDescent="0.25">
      <c r="A53" s="74"/>
      <c r="B53" s="60"/>
      <c r="C53" s="60"/>
      <c r="D53" s="60"/>
      <c r="E53" s="60"/>
      <c r="F53" s="60"/>
      <c r="G53" s="60"/>
      <c r="H53" s="60"/>
      <c r="I53" s="60"/>
      <c r="J53" s="61"/>
    </row>
    <row r="54" spans="1:10" ht="19.5" x14ac:dyDescent="0.25">
      <c r="A54" s="74"/>
      <c r="B54" s="75" t="s">
        <v>299</v>
      </c>
      <c r="C54" s="60"/>
      <c r="D54" s="60"/>
      <c r="E54" s="60"/>
      <c r="F54" s="60"/>
      <c r="G54" s="60"/>
      <c r="H54" s="60"/>
      <c r="I54" s="60"/>
      <c r="J54" s="61"/>
    </row>
    <row r="55" spans="1:10" x14ac:dyDescent="0.25">
      <c r="A55" s="74"/>
      <c r="B55" s="60"/>
      <c r="C55" s="60"/>
      <c r="D55" s="60"/>
      <c r="E55" s="60"/>
      <c r="F55" s="52"/>
      <c r="G55" s="52"/>
      <c r="H55" s="52"/>
      <c r="I55" s="52"/>
      <c r="J55" s="61"/>
    </row>
    <row r="56" spans="1:10" x14ac:dyDescent="0.25">
      <c r="A56" s="58"/>
      <c r="B56" s="80" t="s">
        <v>247</v>
      </c>
      <c r="C56" s="81" t="s">
        <v>248</v>
      </c>
      <c r="D56" s="53"/>
      <c r="E56" s="53"/>
      <c r="F56" s="54"/>
      <c r="G56" s="54"/>
      <c r="H56" s="54"/>
      <c r="I56" s="54"/>
      <c r="J56" s="61"/>
    </row>
    <row r="57" spans="1:10" x14ac:dyDescent="0.25">
      <c r="A57" s="58"/>
      <c r="B57" s="82" t="s">
        <v>3</v>
      </c>
      <c r="C57" t="s">
        <v>249</v>
      </c>
      <c r="D57" s="76"/>
      <c r="E57" s="76"/>
      <c r="F57" s="76"/>
      <c r="G57" s="76"/>
      <c r="H57" s="76"/>
      <c r="I57" s="76"/>
      <c r="J57" s="61"/>
    </row>
    <row r="58" spans="1:10" x14ac:dyDescent="0.25">
      <c r="A58" s="58"/>
      <c r="B58" s="82" t="s">
        <v>5</v>
      </c>
      <c r="C58" t="s">
        <v>250</v>
      </c>
      <c r="D58" s="60"/>
      <c r="E58" s="60"/>
      <c r="F58" s="60"/>
      <c r="G58" s="60"/>
      <c r="H58" s="60"/>
      <c r="I58" s="60"/>
      <c r="J58" s="61"/>
    </row>
    <row r="59" spans="1:10" x14ac:dyDescent="0.25">
      <c r="A59" s="58"/>
      <c r="B59" s="82" t="s">
        <v>7</v>
      </c>
      <c r="C59" t="s">
        <v>251</v>
      </c>
      <c r="D59" s="76"/>
      <c r="E59" s="76"/>
      <c r="F59" s="76"/>
      <c r="G59" s="76"/>
      <c r="H59" s="76"/>
      <c r="I59" s="76"/>
      <c r="J59" s="61"/>
    </row>
    <row r="60" spans="1:10" x14ac:dyDescent="0.25">
      <c r="A60" s="58"/>
      <c r="B60" s="82" t="s">
        <v>301</v>
      </c>
      <c r="C60" t="s">
        <v>303</v>
      </c>
      <c r="D60" s="60"/>
      <c r="E60" s="60"/>
      <c r="F60" s="60"/>
      <c r="G60" s="60"/>
      <c r="H60" s="60"/>
      <c r="I60" s="60"/>
      <c r="J60" s="61"/>
    </row>
    <row r="61" spans="1:10" x14ac:dyDescent="0.25">
      <c r="A61" s="58"/>
      <c r="B61" s="82" t="s">
        <v>41</v>
      </c>
      <c r="C61" s="5" t="s">
        <v>252</v>
      </c>
      <c r="D61" s="76"/>
      <c r="E61" s="76"/>
      <c r="F61" s="76"/>
      <c r="G61" s="76"/>
      <c r="H61" s="76"/>
      <c r="I61" s="76"/>
      <c r="J61" s="61"/>
    </row>
    <row r="62" spans="1:10" x14ac:dyDescent="0.25">
      <c r="A62" s="58"/>
      <c r="B62" s="82" t="s">
        <v>10</v>
      </c>
      <c r="C62" t="s">
        <v>253</v>
      </c>
      <c r="D62" s="60"/>
      <c r="E62" s="60"/>
      <c r="F62" s="60"/>
      <c r="G62" s="60"/>
      <c r="H62" s="60"/>
      <c r="I62" s="60"/>
      <c r="J62" s="61"/>
    </row>
    <row r="63" spans="1:10" x14ac:dyDescent="0.25">
      <c r="A63" s="58"/>
      <c r="B63" s="82" t="s">
        <v>12</v>
      </c>
      <c r="C63" t="s">
        <v>254</v>
      </c>
      <c r="D63" s="76"/>
      <c r="E63" s="76"/>
      <c r="F63" s="76"/>
      <c r="G63" s="76"/>
      <c r="H63" s="76"/>
      <c r="I63" s="76"/>
      <c r="J63" s="61"/>
    </row>
    <row r="64" spans="1:10" x14ac:dyDescent="0.25">
      <c r="A64" s="58"/>
      <c r="B64" s="82" t="s">
        <v>255</v>
      </c>
      <c r="C64" t="s">
        <v>256</v>
      </c>
      <c r="D64" s="60"/>
      <c r="E64" s="60"/>
      <c r="F64" s="60"/>
      <c r="G64" s="60"/>
      <c r="H64" s="60"/>
      <c r="I64" s="60"/>
      <c r="J64" s="61"/>
    </row>
    <row r="65" spans="1:10" x14ac:dyDescent="0.25">
      <c r="A65" s="58"/>
      <c r="B65" s="82" t="s">
        <v>17</v>
      </c>
      <c r="C65" t="s">
        <v>257</v>
      </c>
      <c r="D65" s="76"/>
      <c r="E65" s="76"/>
      <c r="F65" s="76"/>
      <c r="G65" s="76"/>
      <c r="H65" s="76"/>
      <c r="I65" s="76"/>
      <c r="J65" s="61"/>
    </row>
    <row r="66" spans="1:10" x14ac:dyDescent="0.25">
      <c r="A66" s="58"/>
      <c r="B66" s="82" t="s">
        <v>258</v>
      </c>
      <c r="C66" s="5" t="s">
        <v>259</v>
      </c>
      <c r="D66" s="60"/>
      <c r="E66" s="60"/>
      <c r="F66" s="60"/>
      <c r="G66" s="60"/>
      <c r="H66" s="60"/>
      <c r="I66" s="60"/>
      <c r="J66" s="61"/>
    </row>
    <row r="67" spans="1:10" x14ac:dyDescent="0.25">
      <c r="A67" s="58"/>
      <c r="B67" s="82" t="s">
        <v>19</v>
      </c>
      <c r="C67" t="s">
        <v>260</v>
      </c>
      <c r="D67" s="76"/>
      <c r="E67" s="76"/>
      <c r="F67" s="76"/>
      <c r="G67" s="76"/>
      <c r="H67" s="76"/>
      <c r="I67" s="76"/>
      <c r="J67" s="61"/>
    </row>
    <row r="68" spans="1:10" x14ac:dyDescent="0.25">
      <c r="A68" s="58"/>
      <c r="B68" s="82" t="s">
        <v>24</v>
      </c>
      <c r="C68" t="s">
        <v>261</v>
      </c>
      <c r="D68" s="60"/>
      <c r="E68" s="60"/>
      <c r="F68" s="60"/>
      <c r="G68" s="60"/>
      <c r="H68" s="60"/>
      <c r="I68" s="60"/>
      <c r="J68" s="61"/>
    </row>
    <row r="69" spans="1:10" x14ac:dyDescent="0.25">
      <c r="A69" s="58"/>
      <c r="B69" s="82" t="s">
        <v>300</v>
      </c>
      <c r="C69" t="s">
        <v>302</v>
      </c>
      <c r="D69" s="76"/>
      <c r="E69" s="76"/>
      <c r="F69" s="76"/>
      <c r="G69" s="76"/>
      <c r="H69" s="76"/>
      <c r="I69" s="76"/>
      <c r="J69" s="61"/>
    </row>
    <row r="70" spans="1:10" x14ac:dyDescent="0.25">
      <c r="A70" s="58"/>
      <c r="B70" s="82" t="s">
        <v>262</v>
      </c>
      <c r="C70" s="5" t="s">
        <v>263</v>
      </c>
      <c r="D70" s="60"/>
      <c r="E70" s="60"/>
      <c r="F70" s="60"/>
      <c r="G70" s="60"/>
      <c r="H70" s="60"/>
      <c r="I70" s="60"/>
      <c r="J70" s="61"/>
    </row>
    <row r="71" spans="1:10" x14ac:dyDescent="0.25">
      <c r="A71" s="58"/>
      <c r="B71" s="82" t="s">
        <v>26</v>
      </c>
      <c r="C71" t="s">
        <v>264</v>
      </c>
      <c r="D71" s="76"/>
      <c r="E71" s="76"/>
      <c r="F71" s="76"/>
      <c r="G71" s="76"/>
      <c r="H71" s="76"/>
      <c r="I71" s="76"/>
      <c r="J71" s="61"/>
    </row>
    <row r="72" spans="1:10" x14ac:dyDescent="0.25">
      <c r="A72" s="58"/>
      <c r="B72" s="82" t="s">
        <v>28</v>
      </c>
      <c r="C72" t="s">
        <v>265</v>
      </c>
      <c r="D72" s="60"/>
      <c r="E72" s="60"/>
      <c r="F72" s="60"/>
      <c r="G72" s="60"/>
      <c r="H72" s="60"/>
      <c r="I72" s="60"/>
      <c r="J72" s="61"/>
    </row>
    <row r="73" spans="1:10" x14ac:dyDescent="0.25">
      <c r="A73" s="58"/>
      <c r="B73" s="82" t="s">
        <v>29</v>
      </c>
      <c r="C73" s="5" t="s">
        <v>266</v>
      </c>
      <c r="D73" s="76"/>
      <c r="E73" s="76"/>
      <c r="F73" s="76"/>
      <c r="G73" s="76"/>
      <c r="H73" s="76"/>
      <c r="I73" s="76"/>
      <c r="J73" s="61"/>
    </row>
    <row r="74" spans="1:10" x14ac:dyDescent="0.25">
      <c r="A74" s="58"/>
      <c r="B74" s="82" t="s">
        <v>267</v>
      </c>
      <c r="C74" s="5" t="s">
        <v>268</v>
      </c>
      <c r="D74" s="60"/>
      <c r="E74" s="60"/>
      <c r="F74" s="60"/>
      <c r="G74" s="60"/>
      <c r="H74" s="60"/>
      <c r="I74" s="60"/>
      <c r="J74" s="61"/>
    </row>
    <row r="75" spans="1:10" x14ac:dyDescent="0.25">
      <c r="A75" s="58"/>
      <c r="B75" s="82" t="s">
        <v>20</v>
      </c>
      <c r="C75" t="s">
        <v>269</v>
      </c>
      <c r="D75" s="76"/>
      <c r="E75" s="76"/>
      <c r="F75" s="76"/>
      <c r="G75" s="76"/>
      <c r="H75" s="76"/>
      <c r="I75" s="76"/>
      <c r="J75" s="61"/>
    </row>
    <row r="76" spans="1:10" x14ac:dyDescent="0.25">
      <c r="A76" s="58"/>
      <c r="B76" s="82" t="s">
        <v>85</v>
      </c>
      <c r="C76" t="s">
        <v>270</v>
      </c>
      <c r="D76" s="60"/>
      <c r="E76" s="60"/>
      <c r="F76" s="60"/>
      <c r="G76" s="60"/>
      <c r="H76" s="60"/>
      <c r="I76" s="60"/>
      <c r="J76" s="61"/>
    </row>
    <row r="77" spans="1:10" x14ac:dyDescent="0.25">
      <c r="A77" s="58"/>
      <c r="B77" s="82" t="s">
        <v>35</v>
      </c>
      <c r="C77" t="s">
        <v>271</v>
      </c>
      <c r="D77" s="76"/>
      <c r="E77" s="76"/>
      <c r="F77" s="76"/>
      <c r="G77" s="76"/>
      <c r="H77" s="76"/>
      <c r="I77" s="76"/>
      <c r="J77" s="61"/>
    </row>
    <row r="78" spans="1:10" x14ac:dyDescent="0.25">
      <c r="A78" s="58"/>
      <c r="B78" s="82" t="s">
        <v>272</v>
      </c>
      <c r="C78" t="s">
        <v>273</v>
      </c>
      <c r="D78" s="60"/>
      <c r="E78" s="60"/>
      <c r="F78" s="60"/>
      <c r="G78" s="60"/>
      <c r="H78" s="60"/>
      <c r="I78" s="60"/>
      <c r="J78" s="61"/>
    </row>
    <row r="79" spans="1:10" x14ac:dyDescent="0.25">
      <c r="A79" s="58"/>
      <c r="B79" s="82" t="s">
        <v>274</v>
      </c>
      <c r="C79" s="5" t="s">
        <v>275</v>
      </c>
      <c r="D79" s="76"/>
      <c r="E79" s="76"/>
      <c r="F79" s="76"/>
      <c r="G79" s="76"/>
      <c r="H79" s="76"/>
      <c r="I79" s="76"/>
      <c r="J79" s="61"/>
    </row>
    <row r="80" spans="1:10" x14ac:dyDescent="0.25">
      <c r="A80" s="58"/>
      <c r="B80" s="83" t="s">
        <v>37</v>
      </c>
      <c r="C80" s="84" t="s">
        <v>276</v>
      </c>
      <c r="D80" s="60"/>
      <c r="E80" s="60"/>
      <c r="F80" s="60"/>
      <c r="G80" s="60"/>
      <c r="H80" s="60"/>
      <c r="I80" s="60"/>
      <c r="J80" s="61"/>
    </row>
    <row r="81" spans="1:10" x14ac:dyDescent="0.25">
      <c r="A81" s="58"/>
      <c r="B81" s="60"/>
      <c r="C81" s="60"/>
      <c r="D81" s="60"/>
      <c r="E81" s="60"/>
      <c r="F81" s="60"/>
      <c r="G81" s="60"/>
      <c r="H81" s="60"/>
      <c r="I81" s="60"/>
      <c r="J81" s="61"/>
    </row>
    <row r="82" spans="1:10" x14ac:dyDescent="0.25">
      <c r="A82" s="58"/>
      <c r="B82" s="60"/>
      <c r="C82" s="60"/>
      <c r="D82" s="60"/>
      <c r="E82" s="60"/>
      <c r="F82" s="60"/>
      <c r="G82" s="60"/>
      <c r="H82" s="60"/>
      <c r="I82" s="60"/>
      <c r="J82" s="61"/>
    </row>
    <row r="83" spans="1:10" x14ac:dyDescent="0.25"/>
  </sheetData>
  <sheetProtection algorithmName="SHA-512" hashValue="Q0SV9oAu8K58suhIhqRIBs8tmPs+h/BZjm2DVKvoEHQlzaIwWDC9n0a9iKIVVvmdgB2We4XkO0lFX7ruNGuYwg==" saltValue="9AYaIcOlHFbMa8WHUXuEcQ==" spinCount="100000" sheet="1" objects="1" scenarios="1" selectLockedCells="1"/>
  <mergeCells count="2">
    <mergeCell ref="B7:D7"/>
    <mergeCell ref="B3:D3"/>
  </mergeCells>
  <conditionalFormatting sqref="E28">
    <cfRule type="containsText" dxfId="107" priority="3" operator="containsText" text="TRUE">
      <formula>NOT(ISERROR(SEARCH("TRUE",E28)))</formula>
    </cfRule>
    <cfRule type="containsText" dxfId="106" priority="4" operator="containsText" text="FALSE">
      <formula>NOT(ISERROR(SEARCH("FALSE",E28)))</formula>
    </cfRule>
  </conditionalFormatting>
  <conditionalFormatting sqref="E30">
    <cfRule type="containsText" dxfId="105" priority="1" operator="containsText" text="TRUE">
      <formula>NOT(ISERROR(SEARCH("TRUE",E30)))</formula>
    </cfRule>
    <cfRule type="containsText" dxfId="104" priority="2" operator="containsText" text="FALSE">
      <formula>NOT(ISERROR(SEARCH("FALSE",E30)))</formula>
    </cfRule>
  </conditionalFormatting>
  <dataValidations count="4">
    <dataValidation type="decimal" allowBlank="1" showInputMessage="1" showErrorMessage="1" sqref="D27:D28 D30" xr:uid="{8ECF9DA6-8C16-4140-89BC-7BA529B3884A}">
      <formula1>MAX(0,C27,#REF!)</formula1>
      <formula2>1</formula2>
    </dataValidation>
    <dataValidation type="decimal" allowBlank="1" showInputMessage="1" showErrorMessage="1" sqref="C27:C28 C30" xr:uid="{5ACDD9E9-934B-4846-8688-508006D2A33B}">
      <formula1>0</formula1>
      <formula2>MIN(1,D27,#REF!)</formula2>
    </dataValidation>
    <dataValidation type="decimal" allowBlank="1" showInputMessage="1" showErrorMessage="1" sqref="C29 C31:C33" xr:uid="{F275E9A3-AB2D-4316-A0DA-93C2FBFA2073}">
      <formula1>0</formula1>
      <formula2>MIN(1,D29)</formula2>
    </dataValidation>
    <dataValidation type="decimal" allowBlank="1" showInputMessage="1" showErrorMessage="1" sqref="D29 D31:D33" xr:uid="{18534337-E42A-4AC0-B0D5-6CDB83B399DD}">
      <formula1>MAX(0,C29)</formula1>
      <formula2>1</formula2>
    </dataValidation>
  </dataValidation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6440E-B578-4528-9918-EA0AB174DBFA}">
  <sheetPr codeName="Sheet2"/>
  <dimension ref="A1:O261"/>
  <sheetViews>
    <sheetView tabSelected="1" zoomScaleNormal="100" workbookViewId="0">
      <pane ySplit="2" topLeftCell="A90" activePane="bottomLeft" state="frozen"/>
      <selection pane="bottomLeft" activeCell="A102" sqref="A102"/>
    </sheetView>
  </sheetViews>
  <sheetFormatPr defaultColWidth="0" defaultRowHeight="15" zeroHeight="1" x14ac:dyDescent="0.25"/>
  <cols>
    <col min="1" max="1" width="69.7109375" style="9" customWidth="1"/>
    <col min="2" max="2" width="5.28515625" style="5" hidden="1" customWidth="1"/>
    <col min="3" max="4" width="37.42578125" style="5" hidden="1" customWidth="1"/>
    <col min="5" max="5" width="26.7109375" style="6" customWidth="1"/>
    <col min="6" max="6" width="26.85546875" style="6" customWidth="1"/>
    <col min="7" max="7" width="12.5703125" style="4" hidden="1" customWidth="1"/>
    <col min="8" max="9" width="14.28515625" style="4" hidden="1" customWidth="1"/>
    <col min="10" max="10" width="14.28515625" style="31" customWidth="1"/>
    <col min="11" max="11" width="54.28515625" customWidth="1"/>
    <col min="12" max="15" width="0" hidden="1" customWidth="1"/>
    <col min="16" max="16384" width="9.140625" hidden="1"/>
  </cols>
  <sheetData>
    <row r="1" spans="1:11" x14ac:dyDescent="0.25">
      <c r="A1" s="95" t="str" cm="1">
        <f t="array" aca="1" ref="A1" ca="1">HYPERLINK(CELL("address",instructions!A29), "Link to instructions")</f>
        <v>Link to instructions</v>
      </c>
      <c r="B1" s="96"/>
      <c r="C1" s="96"/>
      <c r="D1" s="96"/>
      <c r="E1" s="97"/>
      <c r="F1" s="97"/>
      <c r="G1" s="98"/>
      <c r="H1" s="98"/>
      <c r="I1" s="98"/>
      <c r="J1" s="99"/>
      <c r="K1" s="111"/>
    </row>
    <row r="2" spans="1:11" s="1" customFormat="1" ht="90" x14ac:dyDescent="0.25">
      <c r="A2" s="113" t="s">
        <v>233</v>
      </c>
      <c r="B2" s="114" t="s">
        <v>92</v>
      </c>
      <c r="C2" s="114" t="s">
        <v>0</v>
      </c>
      <c r="D2" s="114" t="s">
        <v>2</v>
      </c>
      <c r="E2" s="115" t="s">
        <v>86</v>
      </c>
      <c r="F2" s="115" t="s">
        <v>87</v>
      </c>
      <c r="G2" s="116" t="s">
        <v>90</v>
      </c>
      <c r="H2" s="116" t="s">
        <v>89</v>
      </c>
      <c r="I2" s="116" t="s">
        <v>170</v>
      </c>
      <c r="J2" s="117" t="s">
        <v>171</v>
      </c>
      <c r="K2" s="104" t="s">
        <v>91</v>
      </c>
    </row>
    <row r="3" spans="1:11" s="1" customFormat="1" ht="15.75" thickBot="1" x14ac:dyDescent="0.3">
      <c r="A3" s="100" t="s">
        <v>172</v>
      </c>
      <c r="B3" s="101"/>
      <c r="C3" s="101"/>
      <c r="D3" s="101"/>
      <c r="E3" s="102"/>
      <c r="F3" s="102"/>
      <c r="G3" s="103"/>
      <c r="H3" s="103"/>
      <c r="I3" s="103"/>
      <c r="J3" s="107"/>
      <c r="K3" s="110"/>
    </row>
    <row r="4" spans="1:11" x14ac:dyDescent="0.25">
      <c r="A4" s="46" t="s">
        <v>98</v>
      </c>
      <c r="B4" s="89"/>
      <c r="C4" s="89"/>
      <c r="D4" s="89"/>
      <c r="E4" s="20"/>
      <c r="F4" s="20"/>
      <c r="G4" s="90" t="b">
        <f>SUM(E5,E237)&lt;=1.001</f>
        <v>1</v>
      </c>
      <c r="H4" s="90" t="b">
        <f>SUM(F5,F237)&gt;=0.999</f>
        <v>1</v>
      </c>
      <c r="I4" s="90" t="b">
        <f>IF(COUNTBLANK(E5:F5)=0, TRUE, FALSE)</f>
        <v>1</v>
      </c>
      <c r="J4" s="106" t="b">
        <f>AND(G4,H4,I4)</f>
        <v>1</v>
      </c>
      <c r="K4" s="110"/>
    </row>
    <row r="5" spans="1:11" ht="45" x14ac:dyDescent="0.25">
      <c r="A5" s="48" t="s">
        <v>230</v>
      </c>
      <c r="B5" s="5" t="s">
        <v>175</v>
      </c>
      <c r="C5" s="5" t="s">
        <v>66</v>
      </c>
      <c r="D5" s="5" t="s">
        <v>72</v>
      </c>
      <c r="E5" s="21">
        <v>0.34984462811411399</v>
      </c>
      <c r="F5" s="21">
        <v>0.34984462811411399</v>
      </c>
      <c r="G5" s="91" t="b">
        <f>G4</f>
        <v>1</v>
      </c>
      <c r="H5" s="91" t="b">
        <f>H4</f>
        <v>1</v>
      </c>
      <c r="I5" s="91" t="b">
        <f>I4</f>
        <v>1</v>
      </c>
      <c r="J5" s="105" t="b">
        <f>J4</f>
        <v>1</v>
      </c>
      <c r="K5" s="110"/>
    </row>
    <row r="6" spans="1:11" x14ac:dyDescent="0.25">
      <c r="A6" s="46" t="s">
        <v>99</v>
      </c>
      <c r="B6" s="89"/>
      <c r="C6" s="89"/>
      <c r="D6" s="92"/>
      <c r="E6" s="22"/>
      <c r="F6" s="22"/>
      <c r="G6" s="90" t="b">
        <f>SUM(E7,E238)&lt;=1.001</f>
        <v>1</v>
      </c>
      <c r="H6" s="90" t="b">
        <f>SUM(F7,F238)&gt;=0.999</f>
        <v>1</v>
      </c>
      <c r="I6" s="90" t="b">
        <f>IF(COUNTBLANK(E7:F7)=0, TRUE, FALSE)</f>
        <v>1</v>
      </c>
      <c r="J6" s="106" t="b">
        <f>AND(G6,H6,I6)</f>
        <v>1</v>
      </c>
      <c r="K6" s="110"/>
    </row>
    <row r="7" spans="1:11" ht="45" x14ac:dyDescent="0.25">
      <c r="A7" s="48" t="s">
        <v>225</v>
      </c>
      <c r="B7" s="5" t="s">
        <v>175</v>
      </c>
      <c r="C7" s="5" t="s">
        <v>72</v>
      </c>
      <c r="D7" s="5" t="s">
        <v>77</v>
      </c>
      <c r="E7" s="21">
        <v>0.68</v>
      </c>
      <c r="F7" s="21">
        <v>0.68</v>
      </c>
      <c r="G7" s="91" t="b">
        <f>G6</f>
        <v>1</v>
      </c>
      <c r="H7" s="91" t="b">
        <f>H6</f>
        <v>1</v>
      </c>
      <c r="I7" s="91" t="b">
        <f>I6</f>
        <v>1</v>
      </c>
      <c r="J7" s="105" t="b">
        <f>J6</f>
        <v>1</v>
      </c>
      <c r="K7" s="110"/>
    </row>
    <row r="8" spans="1:11" x14ac:dyDescent="0.25">
      <c r="A8" s="46" t="s">
        <v>100</v>
      </c>
      <c r="B8" s="89"/>
      <c r="C8" s="89"/>
      <c r="D8" s="92"/>
      <c r="E8" s="22"/>
      <c r="F8" s="22"/>
      <c r="G8" s="90" t="b">
        <f>SUM(E9,E239)&lt;=1.001</f>
        <v>1</v>
      </c>
      <c r="H8" s="90" t="b">
        <f>SUM(F9,F239)&gt;=0.999</f>
        <v>1</v>
      </c>
      <c r="I8" s="90" t="b">
        <f>IF(COUNTBLANK(E9:F9)=0, TRUE, FALSE)</f>
        <v>1</v>
      </c>
      <c r="J8" s="106" t="b">
        <f>AND(G8,H8,I8)</f>
        <v>1</v>
      </c>
      <c r="K8" s="110"/>
    </row>
    <row r="9" spans="1:11" ht="45" x14ac:dyDescent="0.25">
      <c r="A9" s="48" t="s">
        <v>229</v>
      </c>
      <c r="B9" s="5" t="s">
        <v>175</v>
      </c>
      <c r="C9" s="5" t="s">
        <v>73</v>
      </c>
      <c r="D9" s="5" t="s">
        <v>77</v>
      </c>
      <c r="E9" s="21">
        <v>0.68</v>
      </c>
      <c r="F9" s="21">
        <v>0.68</v>
      </c>
      <c r="G9" s="91" t="b">
        <f>G8</f>
        <v>1</v>
      </c>
      <c r="H9" s="91" t="b">
        <f>H8</f>
        <v>1</v>
      </c>
      <c r="I9" s="91" t="b">
        <f>I8</f>
        <v>1</v>
      </c>
      <c r="J9" s="105" t="b">
        <f>J8</f>
        <v>1</v>
      </c>
      <c r="K9" s="110"/>
    </row>
    <row r="10" spans="1:11" x14ac:dyDescent="0.25">
      <c r="A10" s="46" t="s">
        <v>101</v>
      </c>
      <c r="B10" s="89"/>
      <c r="C10" s="89"/>
      <c r="D10" s="92"/>
      <c r="E10" s="22"/>
      <c r="F10" s="22"/>
      <c r="G10" s="90" t="b">
        <f>SUM(E11:E16)&lt;=1.001</f>
        <v>1</v>
      </c>
      <c r="H10" s="90" t="b">
        <f>SUM(F11:F16)&gt;=0.999</f>
        <v>1</v>
      </c>
      <c r="I10" s="90" t="b">
        <f>IF(COUNTBLANK(E11:F16)=0, TRUE, FALSE)</f>
        <v>1</v>
      </c>
      <c r="J10" s="106" t="b">
        <f>AND(G10,H10,I10)</f>
        <v>1</v>
      </c>
      <c r="K10" s="110"/>
    </row>
    <row r="11" spans="1:11" ht="45" x14ac:dyDescent="0.25">
      <c r="A11" s="48" t="s">
        <v>226</v>
      </c>
      <c r="B11" s="5" t="s">
        <v>175</v>
      </c>
      <c r="C11" s="5" t="s">
        <v>76</v>
      </c>
      <c r="D11" s="5" t="s">
        <v>46</v>
      </c>
      <c r="E11" s="21">
        <v>0.402807138048</v>
      </c>
      <c r="F11" s="21">
        <v>0.402807138048</v>
      </c>
      <c r="G11" s="91" t="b">
        <f t="shared" ref="G11:J12" si="0">G10</f>
        <v>1</v>
      </c>
      <c r="H11" s="91" t="b">
        <f t="shared" si="0"/>
        <v>1</v>
      </c>
      <c r="I11" s="91" t="b">
        <f t="shared" si="0"/>
        <v>1</v>
      </c>
      <c r="J11" s="105" t="b">
        <f t="shared" si="0"/>
        <v>1</v>
      </c>
      <c r="K11" s="110"/>
    </row>
    <row r="12" spans="1:11" x14ac:dyDescent="0.25">
      <c r="A12" s="48" t="s">
        <v>218</v>
      </c>
      <c r="B12" s="5" t="s">
        <v>175</v>
      </c>
      <c r="C12" s="5" t="s">
        <v>76</v>
      </c>
      <c r="D12" s="5" t="s">
        <v>42</v>
      </c>
      <c r="E12" s="21">
        <v>0.43013053691999997</v>
      </c>
      <c r="F12" s="21">
        <v>0.43013053691999997</v>
      </c>
      <c r="G12" s="91" t="b">
        <f t="shared" si="0"/>
        <v>1</v>
      </c>
      <c r="H12" s="91" t="b">
        <f t="shared" si="0"/>
        <v>1</v>
      </c>
      <c r="I12" s="91" t="b">
        <f t="shared" si="0"/>
        <v>1</v>
      </c>
      <c r="J12" s="105" t="b">
        <f t="shared" si="0"/>
        <v>1</v>
      </c>
      <c r="K12" s="110"/>
    </row>
    <row r="13" spans="1:11" ht="30" x14ac:dyDescent="0.25">
      <c r="A13" s="48" t="s">
        <v>220</v>
      </c>
      <c r="B13" s="5" t="s">
        <v>175</v>
      </c>
      <c r="C13" s="5" t="s">
        <v>76</v>
      </c>
      <c r="D13" s="5" t="s">
        <v>43</v>
      </c>
      <c r="E13" s="21">
        <v>0.15129067153199999</v>
      </c>
      <c r="F13" s="21">
        <v>0.15129067153199999</v>
      </c>
      <c r="G13" s="91" t="b">
        <f t="shared" ref="G13:G27" si="1">G12</f>
        <v>1</v>
      </c>
      <c r="H13" s="91" t="b">
        <f t="shared" ref="H13:J16" si="2">H12</f>
        <v>1</v>
      </c>
      <c r="I13" s="91" t="b">
        <f t="shared" si="2"/>
        <v>1</v>
      </c>
      <c r="J13" s="105" t="b">
        <f t="shared" si="2"/>
        <v>1</v>
      </c>
      <c r="K13" s="110"/>
    </row>
    <row r="14" spans="1:11" x14ac:dyDescent="0.25">
      <c r="A14" s="48" t="s">
        <v>219</v>
      </c>
      <c r="B14" s="5" t="s">
        <v>175</v>
      </c>
      <c r="C14" s="5" t="s">
        <v>76</v>
      </c>
      <c r="D14" s="5" t="s">
        <v>44</v>
      </c>
      <c r="E14" s="21">
        <v>1.5749653499999999E-2</v>
      </c>
      <c r="F14" s="21">
        <v>1.5749653499999999E-2</v>
      </c>
      <c r="G14" s="91" t="b">
        <f t="shared" si="1"/>
        <v>1</v>
      </c>
      <c r="H14" s="91" t="b">
        <f t="shared" si="2"/>
        <v>1</v>
      </c>
      <c r="I14" s="91" t="b">
        <f t="shared" si="2"/>
        <v>1</v>
      </c>
      <c r="J14" s="105" t="b">
        <f t="shared" si="2"/>
        <v>1</v>
      </c>
      <c r="K14" s="110"/>
    </row>
    <row r="15" spans="1:11" ht="30" x14ac:dyDescent="0.25">
      <c r="A15" s="48" t="s">
        <v>221</v>
      </c>
      <c r="B15" s="5" t="s">
        <v>175</v>
      </c>
      <c r="C15" s="5" t="s">
        <v>76</v>
      </c>
      <c r="D15" s="5" t="s">
        <v>60</v>
      </c>
      <c r="E15" s="21">
        <v>1.1E-5</v>
      </c>
      <c r="F15" s="21">
        <v>1.1E-5</v>
      </c>
      <c r="G15" s="91" t="b">
        <f t="shared" si="1"/>
        <v>1</v>
      </c>
      <c r="H15" s="91" t="b">
        <f t="shared" si="2"/>
        <v>1</v>
      </c>
      <c r="I15" s="91" t="b">
        <f t="shared" si="2"/>
        <v>1</v>
      </c>
      <c r="J15" s="105" t="b">
        <f t="shared" si="2"/>
        <v>1</v>
      </c>
      <c r="K15" s="110"/>
    </row>
    <row r="16" spans="1:11" x14ac:dyDescent="0.25">
      <c r="A16" s="48" t="s">
        <v>110</v>
      </c>
      <c r="B16" s="5" t="s">
        <v>175</v>
      </c>
      <c r="C16" s="5" t="s">
        <v>76</v>
      </c>
      <c r="D16" s="5" t="s">
        <v>64</v>
      </c>
      <c r="E16" s="21">
        <v>1.1E-5</v>
      </c>
      <c r="F16" s="21">
        <v>1.1E-5</v>
      </c>
      <c r="G16" s="91" t="b">
        <f t="shared" si="1"/>
        <v>1</v>
      </c>
      <c r="H16" s="91" t="b">
        <f t="shared" si="2"/>
        <v>1</v>
      </c>
      <c r="I16" s="91" t="b">
        <f t="shared" si="2"/>
        <v>1</v>
      </c>
      <c r="J16" s="105" t="b">
        <f t="shared" si="2"/>
        <v>1</v>
      </c>
      <c r="K16" s="110"/>
    </row>
    <row r="17" spans="1:11" x14ac:dyDescent="0.25">
      <c r="A17" s="46" t="s">
        <v>102</v>
      </c>
      <c r="B17" s="89"/>
      <c r="C17" s="89"/>
      <c r="D17" s="92"/>
      <c r="E17" s="22"/>
      <c r="F17" s="22"/>
      <c r="G17" s="90" t="b">
        <f>SUM(E18:E24)&lt;=1.001</f>
        <v>1</v>
      </c>
      <c r="H17" s="90" t="b">
        <f>SUM(F18:F24)&gt;=0.999</f>
        <v>1</v>
      </c>
      <c r="I17" s="90" t="b">
        <f>IF(COUNTBLANK(E18:F24)=0, TRUE, FALSE)</f>
        <v>1</v>
      </c>
      <c r="J17" s="106" t="b">
        <f>AND(G17,H17,I17)</f>
        <v>1</v>
      </c>
      <c r="K17" s="110"/>
    </row>
    <row r="18" spans="1:11" ht="45" x14ac:dyDescent="0.25">
      <c r="A18" s="48" t="s">
        <v>227</v>
      </c>
      <c r="B18" s="5" t="s">
        <v>175</v>
      </c>
      <c r="C18" s="5" t="s">
        <v>74</v>
      </c>
      <c r="D18" s="5" t="s">
        <v>46</v>
      </c>
      <c r="E18" s="21">
        <v>0.17730103720170401</v>
      </c>
      <c r="F18" s="21">
        <v>0.17730103720170401</v>
      </c>
      <c r="G18" s="91" t="b">
        <f>G17</f>
        <v>1</v>
      </c>
      <c r="H18" s="91" t="b">
        <f>G17</f>
        <v>1</v>
      </c>
      <c r="I18" s="91" t="b">
        <f>H17</f>
        <v>1</v>
      </c>
      <c r="J18" s="105" t="b">
        <f t="shared" ref="J18:J24" si="3">J17</f>
        <v>1</v>
      </c>
      <c r="K18" s="110"/>
    </row>
    <row r="19" spans="1:11" ht="30" x14ac:dyDescent="0.25">
      <c r="A19" s="48" t="s">
        <v>112</v>
      </c>
      <c r="B19" s="5" t="s">
        <v>175</v>
      </c>
      <c r="C19" s="5" t="s">
        <v>74</v>
      </c>
      <c r="D19" s="5" t="s">
        <v>75</v>
      </c>
      <c r="E19" s="21">
        <v>0.80240304832329801</v>
      </c>
      <c r="F19" s="21">
        <v>0.80240304832329801</v>
      </c>
      <c r="G19" s="91" t="b">
        <f t="shared" ref="G19:G24" si="4">G18</f>
        <v>1</v>
      </c>
      <c r="H19" s="91" t="b">
        <f t="shared" ref="H19:I24" si="5">G18</f>
        <v>1</v>
      </c>
      <c r="I19" s="91" t="b">
        <f t="shared" si="5"/>
        <v>1</v>
      </c>
      <c r="J19" s="105" t="b">
        <f t="shared" si="3"/>
        <v>1</v>
      </c>
      <c r="K19" s="110"/>
    </row>
    <row r="20" spans="1:11" ht="45" x14ac:dyDescent="0.25">
      <c r="A20" s="48" t="s">
        <v>222</v>
      </c>
      <c r="B20" s="5" t="s">
        <v>175</v>
      </c>
      <c r="C20" s="5" t="s">
        <v>74</v>
      </c>
      <c r="D20" s="5" t="s">
        <v>41</v>
      </c>
      <c r="E20" s="21">
        <v>4.1046992300859198E-4</v>
      </c>
      <c r="F20" s="21">
        <v>4.1046992300859198E-4</v>
      </c>
      <c r="G20" s="91" t="b">
        <f t="shared" si="4"/>
        <v>1</v>
      </c>
      <c r="H20" s="91" t="b">
        <f t="shared" si="5"/>
        <v>1</v>
      </c>
      <c r="I20" s="91" t="b">
        <f t="shared" si="5"/>
        <v>1</v>
      </c>
      <c r="J20" s="105" t="b">
        <f t="shared" si="3"/>
        <v>1</v>
      </c>
      <c r="K20" s="110"/>
    </row>
    <row r="21" spans="1:11" x14ac:dyDescent="0.25">
      <c r="A21" s="48" t="s">
        <v>143</v>
      </c>
      <c r="B21" s="5" t="s">
        <v>175</v>
      </c>
      <c r="C21" s="5" t="s">
        <v>74</v>
      </c>
      <c r="D21" s="5" t="s">
        <v>68</v>
      </c>
      <c r="E21" s="21">
        <v>1.9828366236908802E-2</v>
      </c>
      <c r="F21" s="21">
        <v>1.9828366236908802E-2</v>
      </c>
      <c r="G21" s="91" t="b">
        <f t="shared" si="4"/>
        <v>1</v>
      </c>
      <c r="H21" s="91" t="b">
        <f t="shared" si="5"/>
        <v>1</v>
      </c>
      <c r="I21" s="91" t="b">
        <f t="shared" si="5"/>
        <v>1</v>
      </c>
      <c r="J21" s="105" t="b">
        <f t="shared" si="3"/>
        <v>1</v>
      </c>
      <c r="K21" s="110"/>
    </row>
    <row r="22" spans="1:11" x14ac:dyDescent="0.25">
      <c r="A22" s="48" t="s">
        <v>111</v>
      </c>
      <c r="B22" s="5" t="s">
        <v>175</v>
      </c>
      <c r="C22" s="5" t="s">
        <v>74</v>
      </c>
      <c r="D22" s="5" t="s">
        <v>69</v>
      </c>
      <c r="E22" s="21">
        <v>3.50783150804436E-5</v>
      </c>
      <c r="F22" s="21">
        <v>3.50783150804436E-5</v>
      </c>
      <c r="G22" s="91" t="b">
        <f t="shared" si="4"/>
        <v>1</v>
      </c>
      <c r="H22" s="91" t="b">
        <f t="shared" si="5"/>
        <v>1</v>
      </c>
      <c r="I22" s="91" t="b">
        <f t="shared" si="5"/>
        <v>1</v>
      </c>
      <c r="J22" s="105" t="b">
        <f t="shared" si="3"/>
        <v>1</v>
      </c>
      <c r="K22" s="110"/>
    </row>
    <row r="23" spans="1:11" x14ac:dyDescent="0.25">
      <c r="A23" s="48" t="s">
        <v>113</v>
      </c>
      <c r="B23" s="5" t="s">
        <v>175</v>
      </c>
      <c r="C23" s="5" t="s">
        <v>74</v>
      </c>
      <c r="D23" s="5" t="s">
        <v>63</v>
      </c>
      <c r="E23" s="21">
        <v>1.1E-5</v>
      </c>
      <c r="F23" s="21">
        <v>1.1E-5</v>
      </c>
      <c r="G23" s="91" t="b">
        <f t="shared" si="4"/>
        <v>1</v>
      </c>
      <c r="H23" s="91" t="b">
        <f t="shared" si="5"/>
        <v>1</v>
      </c>
      <c r="I23" s="91" t="b">
        <f t="shared" si="5"/>
        <v>1</v>
      </c>
      <c r="J23" s="105" t="b">
        <f t="shared" si="3"/>
        <v>1</v>
      </c>
      <c r="K23" s="110"/>
    </row>
    <row r="24" spans="1:11" x14ac:dyDescent="0.25">
      <c r="A24" s="48" t="s">
        <v>110</v>
      </c>
      <c r="B24" s="5" t="s">
        <v>175</v>
      </c>
      <c r="C24" s="5" t="s">
        <v>74</v>
      </c>
      <c r="D24" s="5" t="s">
        <v>64</v>
      </c>
      <c r="E24" s="21">
        <v>1.1E-5</v>
      </c>
      <c r="F24" s="21">
        <v>1.1E-5</v>
      </c>
      <c r="G24" s="91" t="b">
        <f t="shared" si="4"/>
        <v>1</v>
      </c>
      <c r="H24" s="91" t="b">
        <f t="shared" si="5"/>
        <v>1</v>
      </c>
      <c r="I24" s="91" t="b">
        <f t="shared" si="5"/>
        <v>1</v>
      </c>
      <c r="J24" s="105" t="b">
        <f t="shared" si="3"/>
        <v>1</v>
      </c>
      <c r="K24" s="110"/>
    </row>
    <row r="25" spans="1:11" x14ac:dyDescent="0.25">
      <c r="A25" s="46" t="s">
        <v>103</v>
      </c>
      <c r="B25" s="89"/>
      <c r="C25" s="89"/>
      <c r="D25" s="92"/>
      <c r="E25" s="22"/>
      <c r="F25" s="22"/>
      <c r="G25" s="90" t="b">
        <f>SUM(E26:E28)&lt;=1.001</f>
        <v>1</v>
      </c>
      <c r="H25" s="90" t="b">
        <f>SUM(F26:F28)&gt;=0.999</f>
        <v>1</v>
      </c>
      <c r="I25" s="90" t="b">
        <f>IF(COUNTBLANK(E26:F28)=0, TRUE, FALSE)</f>
        <v>1</v>
      </c>
      <c r="J25" s="106" t="b">
        <f>AND(G25,H25,I25)</f>
        <v>1</v>
      </c>
      <c r="K25" s="110"/>
    </row>
    <row r="26" spans="1:11" ht="45" x14ac:dyDescent="0.25">
      <c r="A26" s="48" t="s">
        <v>228</v>
      </c>
      <c r="B26" s="5" t="s">
        <v>175</v>
      </c>
      <c r="C26" s="5" t="s">
        <v>41</v>
      </c>
      <c r="D26" s="5" t="s">
        <v>42</v>
      </c>
      <c r="E26" s="21">
        <v>0.160932169085757</v>
      </c>
      <c r="F26" s="21">
        <v>0.160932169085757</v>
      </c>
      <c r="G26" s="91" t="b">
        <f t="shared" si="1"/>
        <v>1</v>
      </c>
      <c r="H26" s="91" t="b">
        <f t="shared" ref="H26:J28" si="6">H25</f>
        <v>1</v>
      </c>
      <c r="I26" s="91" t="b">
        <f t="shared" ref="I26" si="7">I25</f>
        <v>1</v>
      </c>
      <c r="J26" s="105" t="b">
        <f t="shared" si="6"/>
        <v>1</v>
      </c>
      <c r="K26" s="110"/>
    </row>
    <row r="27" spans="1:11" x14ac:dyDescent="0.25">
      <c r="A27" s="48" t="s">
        <v>232</v>
      </c>
      <c r="B27" s="5" t="s">
        <v>175</v>
      </c>
      <c r="C27" s="5" t="s">
        <v>41</v>
      </c>
      <c r="D27" s="5" t="s">
        <v>43</v>
      </c>
      <c r="E27" s="21">
        <v>0.50714161799572</v>
      </c>
      <c r="F27" s="21">
        <v>0.50714161799572</v>
      </c>
      <c r="G27" s="91" t="b">
        <f t="shared" si="1"/>
        <v>1</v>
      </c>
      <c r="H27" s="91" t="b">
        <f t="shared" si="6"/>
        <v>1</v>
      </c>
      <c r="I27" s="91" t="b">
        <f t="shared" ref="I27" si="8">I26</f>
        <v>1</v>
      </c>
      <c r="J27" s="105" t="b">
        <f t="shared" si="6"/>
        <v>1</v>
      </c>
      <c r="K27" s="110"/>
    </row>
    <row r="28" spans="1:11" x14ac:dyDescent="0.25">
      <c r="A28" s="48" t="s">
        <v>114</v>
      </c>
      <c r="B28" s="5" t="s">
        <v>175</v>
      </c>
      <c r="C28" s="5" t="s">
        <v>41</v>
      </c>
      <c r="D28" s="5" t="s">
        <v>44</v>
      </c>
      <c r="E28" s="21">
        <v>0.33192621291852098</v>
      </c>
      <c r="F28" s="21">
        <v>0.33192621291852098</v>
      </c>
      <c r="G28" s="91" t="b">
        <f>G27</f>
        <v>1</v>
      </c>
      <c r="H28" s="91" t="b">
        <f t="shared" si="6"/>
        <v>1</v>
      </c>
      <c r="I28" s="91" t="b">
        <f t="shared" ref="I28" si="9">I27</f>
        <v>1</v>
      </c>
      <c r="J28" s="105" t="b">
        <f t="shared" si="6"/>
        <v>1</v>
      </c>
      <c r="K28" s="110"/>
    </row>
    <row r="29" spans="1:11" x14ac:dyDescent="0.25">
      <c r="A29" s="93" t="s">
        <v>104</v>
      </c>
      <c r="B29" s="94"/>
      <c r="C29" s="94"/>
      <c r="D29" s="92"/>
      <c r="E29" s="22"/>
      <c r="F29" s="22"/>
      <c r="G29" s="90" t="b">
        <f>SUM(E30,E246)&lt;=1.001</f>
        <v>1</v>
      </c>
      <c r="H29" s="90" t="b">
        <f>SUM(F30,F246)&gt;=0.999</f>
        <v>1</v>
      </c>
      <c r="I29" s="90" t="b">
        <f>IF(COUNTBLANK(E30:F30)=0, TRUE, FALSE)</f>
        <v>1</v>
      </c>
      <c r="J29" s="106" t="b">
        <f>AND(G29,H29,I29)</f>
        <v>1</v>
      </c>
      <c r="K29" s="110"/>
    </row>
    <row r="30" spans="1:11" ht="45" x14ac:dyDescent="0.25">
      <c r="A30" s="48" t="s">
        <v>135</v>
      </c>
      <c r="B30" s="5" t="s">
        <v>175</v>
      </c>
      <c r="C30" s="5" t="s">
        <v>51</v>
      </c>
      <c r="D30" s="5" t="s">
        <v>39</v>
      </c>
      <c r="E30" s="23">
        <v>0.15101244205903799</v>
      </c>
      <c r="F30" s="23">
        <v>0.15101244205903799</v>
      </c>
      <c r="G30" s="91" t="b">
        <f>G29</f>
        <v>1</v>
      </c>
      <c r="H30" s="91" t="b">
        <f>H29</f>
        <v>1</v>
      </c>
      <c r="I30" s="91" t="b">
        <f>I29</f>
        <v>1</v>
      </c>
      <c r="J30" s="105" t="b">
        <f>J29</f>
        <v>1</v>
      </c>
      <c r="K30" s="110"/>
    </row>
    <row r="31" spans="1:11" x14ac:dyDescent="0.25">
      <c r="A31" s="93" t="s">
        <v>105</v>
      </c>
      <c r="B31" s="94"/>
      <c r="C31" s="94"/>
      <c r="D31" s="92"/>
      <c r="E31" s="22"/>
      <c r="F31" s="22"/>
      <c r="G31" s="90" t="b">
        <f>SUM(E32,E236)&lt;=1.001</f>
        <v>1</v>
      </c>
      <c r="H31" s="90" t="b">
        <f>SUM(F32,F236)&gt;=0.999</f>
        <v>1</v>
      </c>
      <c r="I31" s="90" t="b">
        <f>IF(COUNTBLANK(E32:F32)=0, TRUE, FALSE)</f>
        <v>1</v>
      </c>
      <c r="J31" s="106" t="b">
        <f>AND(G31,H31,I31)</f>
        <v>1</v>
      </c>
      <c r="K31" s="110"/>
    </row>
    <row r="32" spans="1:11" ht="60.75" thickBot="1" x14ac:dyDescent="0.3">
      <c r="A32" s="48" t="s">
        <v>313</v>
      </c>
      <c r="B32" s="5" t="s">
        <v>175</v>
      </c>
      <c r="C32" s="5" t="s">
        <v>39</v>
      </c>
      <c r="D32" s="5" t="s">
        <v>40</v>
      </c>
      <c r="E32" s="21">
        <v>0.89032993033343499</v>
      </c>
      <c r="F32" s="21">
        <v>0.89032993033343499</v>
      </c>
      <c r="G32" s="91" t="b">
        <f>G31</f>
        <v>1</v>
      </c>
      <c r="H32" s="91" t="b">
        <f>H31</f>
        <v>1</v>
      </c>
      <c r="I32" s="91" t="b">
        <f t="shared" ref="I32" si="10">I31</f>
        <v>1</v>
      </c>
      <c r="J32" s="105" t="b">
        <f>J31</f>
        <v>1</v>
      </c>
      <c r="K32" s="110"/>
    </row>
    <row r="33" spans="1:11" ht="15.75" thickBot="1" x14ac:dyDescent="0.3">
      <c r="A33" s="88" t="s">
        <v>173</v>
      </c>
      <c r="B33" s="35"/>
      <c r="C33" s="35"/>
      <c r="D33" s="35"/>
      <c r="E33" s="36"/>
      <c r="F33" s="36"/>
      <c r="G33" s="37"/>
      <c r="H33" s="37"/>
      <c r="I33" s="37"/>
      <c r="J33" s="108"/>
      <c r="K33" s="110"/>
    </row>
    <row r="34" spans="1:11" x14ac:dyDescent="0.25">
      <c r="A34" s="46" t="s">
        <v>106</v>
      </c>
      <c r="B34" s="89"/>
      <c r="C34" s="89"/>
      <c r="D34" s="89"/>
      <c r="E34" s="20"/>
      <c r="F34" s="20"/>
      <c r="G34" s="90" t="b">
        <f>SUM(E35,E240)&lt;=1.001</f>
        <v>1</v>
      </c>
      <c r="H34" s="90" t="b">
        <f>SUM(F35,F240)&gt;=0.999</f>
        <v>1</v>
      </c>
      <c r="I34" s="90" t="b">
        <f>IF(COUNTBLANK(E35:F35)=0, TRUE, FALSE)</f>
        <v>1</v>
      </c>
      <c r="J34" s="106" t="b">
        <f>AND(G34,H34,I34)</f>
        <v>1</v>
      </c>
      <c r="K34" s="110"/>
    </row>
    <row r="35" spans="1:11" ht="30" x14ac:dyDescent="0.25">
      <c r="A35" s="48" t="s">
        <v>116</v>
      </c>
      <c r="B35" s="5" t="s">
        <v>175</v>
      </c>
      <c r="C35" s="5" t="s">
        <v>75</v>
      </c>
      <c r="D35" s="5" t="s">
        <v>80</v>
      </c>
      <c r="E35" s="21">
        <v>1</v>
      </c>
      <c r="F35" s="21">
        <v>1</v>
      </c>
      <c r="G35" s="91" t="b">
        <f t="shared" ref="G35:H35" si="11">G34</f>
        <v>1</v>
      </c>
      <c r="H35" s="91" t="b">
        <f t="shared" si="11"/>
        <v>1</v>
      </c>
      <c r="I35" s="91" t="b">
        <f t="shared" ref="I35" si="12">I34</f>
        <v>1</v>
      </c>
      <c r="J35" s="105" t="b">
        <f t="shared" ref="J35" si="13">J34</f>
        <v>1</v>
      </c>
      <c r="K35" s="110"/>
    </row>
    <row r="36" spans="1:11" x14ac:dyDescent="0.25">
      <c r="A36" s="93" t="s">
        <v>107</v>
      </c>
      <c r="B36" s="94"/>
      <c r="C36" s="94"/>
      <c r="D36" s="92"/>
      <c r="E36" s="22"/>
      <c r="F36" s="22"/>
      <c r="G36" s="90" t="b">
        <f>SUM(E37:E40)&lt;=1.001</f>
        <v>1</v>
      </c>
      <c r="H36" s="90" t="b">
        <f>SUM(F37:F40)&gt;=0.999</f>
        <v>1</v>
      </c>
      <c r="I36" s="90" t="b">
        <f>IF(COUNTBLANK(E37:F40)=0, TRUE, FALSE)</f>
        <v>1</v>
      </c>
      <c r="J36" s="106" t="b">
        <f>AND(G36,H36,I36)</f>
        <v>1</v>
      </c>
      <c r="K36" s="110"/>
    </row>
    <row r="37" spans="1:11" ht="45" x14ac:dyDescent="0.25">
      <c r="A37" s="48" t="s">
        <v>126</v>
      </c>
      <c r="B37" s="5" t="s">
        <v>175</v>
      </c>
      <c r="C37" s="5" t="s">
        <v>80</v>
      </c>
      <c r="D37" s="5" t="s">
        <v>67</v>
      </c>
      <c r="E37" s="21">
        <v>0.33532721995885001</v>
      </c>
      <c r="F37" s="21">
        <v>0.33532721995885001</v>
      </c>
      <c r="G37" s="91" t="b">
        <f t="shared" ref="G37:I39" si="14">G36</f>
        <v>1</v>
      </c>
      <c r="H37" s="91" t="b">
        <f t="shared" si="14"/>
        <v>1</v>
      </c>
      <c r="I37" s="91" t="b">
        <f t="shared" si="14"/>
        <v>1</v>
      </c>
      <c r="J37" s="105" t="b">
        <f t="shared" ref="G37:J40" si="15">J36</f>
        <v>1</v>
      </c>
      <c r="K37" s="110"/>
    </row>
    <row r="38" spans="1:11" x14ac:dyDescent="0.25">
      <c r="A38" s="48" t="s">
        <v>119</v>
      </c>
      <c r="B38" s="5" t="s">
        <v>175</v>
      </c>
      <c r="C38" s="5" t="s">
        <v>80</v>
      </c>
      <c r="D38" s="5" t="s">
        <v>1</v>
      </c>
      <c r="E38" s="21">
        <v>0.645433363763949</v>
      </c>
      <c r="F38" s="21">
        <v>0.645433363763949</v>
      </c>
      <c r="G38" s="91" t="b">
        <f t="shared" si="14"/>
        <v>1</v>
      </c>
      <c r="H38" s="91" t="b">
        <f t="shared" si="14"/>
        <v>1</v>
      </c>
      <c r="I38" s="91" t="b">
        <f t="shared" si="14"/>
        <v>1</v>
      </c>
      <c r="J38" s="105" t="b">
        <f t="shared" si="15"/>
        <v>1</v>
      </c>
      <c r="K38" s="110"/>
    </row>
    <row r="39" spans="1:11" ht="30" x14ac:dyDescent="0.25">
      <c r="A39" s="48" t="s">
        <v>223</v>
      </c>
      <c r="B39" s="5" t="s">
        <v>175</v>
      </c>
      <c r="C39" s="5" t="s">
        <v>80</v>
      </c>
      <c r="D39" s="5" t="s">
        <v>29</v>
      </c>
      <c r="E39" s="21">
        <v>1.9239416277200199E-2</v>
      </c>
      <c r="F39" s="21">
        <v>1.9239416277200199E-2</v>
      </c>
      <c r="G39" s="105" t="b">
        <f t="shared" si="14"/>
        <v>1</v>
      </c>
      <c r="H39" s="105" t="b">
        <f t="shared" si="14"/>
        <v>1</v>
      </c>
      <c r="I39" s="105" t="b">
        <f t="shared" si="14"/>
        <v>1</v>
      </c>
      <c r="J39" s="105" t="b">
        <f t="shared" si="15"/>
        <v>1</v>
      </c>
      <c r="K39" s="110"/>
    </row>
    <row r="40" spans="1:11" ht="30" x14ac:dyDescent="0.25">
      <c r="A40" s="48" t="s">
        <v>118</v>
      </c>
      <c r="B40" s="5" t="s">
        <v>175</v>
      </c>
      <c r="C40" s="5" t="s">
        <v>80</v>
      </c>
      <c r="D40" s="5" t="s">
        <v>26</v>
      </c>
      <c r="E40" s="21">
        <v>1E-4</v>
      </c>
      <c r="F40" s="21">
        <v>1E-4</v>
      </c>
      <c r="G40" s="105" t="b">
        <f t="shared" si="15"/>
        <v>1</v>
      </c>
      <c r="H40" s="105" t="b">
        <f t="shared" si="15"/>
        <v>1</v>
      </c>
      <c r="I40" s="105" t="b">
        <f t="shared" si="15"/>
        <v>1</v>
      </c>
      <c r="J40" s="105" t="b">
        <f>J39</f>
        <v>1</v>
      </c>
      <c r="K40" s="110"/>
    </row>
    <row r="41" spans="1:11" x14ac:dyDescent="0.25">
      <c r="A41" s="93" t="s">
        <v>108</v>
      </c>
      <c r="B41" s="94"/>
      <c r="C41" s="94"/>
      <c r="D41" s="92"/>
      <c r="E41" s="22"/>
      <c r="F41" s="22"/>
      <c r="G41" s="90" t="b">
        <f>SUM(E42,E241)&lt;=1.001</f>
        <v>1</v>
      </c>
      <c r="H41" s="90" t="b">
        <f>SUM(F42,F241)&gt;=0.999</f>
        <v>1</v>
      </c>
      <c r="I41" s="90" t="b">
        <f>IF(COUNTBLANK(E42:F42)=0, TRUE, FALSE)</f>
        <v>1</v>
      </c>
      <c r="J41" s="106" t="b">
        <f>AND(G41,H41,I41)</f>
        <v>1</v>
      </c>
      <c r="K41" s="110"/>
    </row>
    <row r="42" spans="1:11" ht="30" x14ac:dyDescent="0.25">
      <c r="A42" s="48" t="s">
        <v>117</v>
      </c>
      <c r="B42" s="5" t="s">
        <v>175</v>
      </c>
      <c r="C42" s="5" t="s">
        <v>46</v>
      </c>
      <c r="D42" s="5" t="s">
        <v>78</v>
      </c>
      <c r="E42" s="21">
        <v>1</v>
      </c>
      <c r="F42" s="21">
        <v>1</v>
      </c>
      <c r="G42" s="91" t="b">
        <f t="shared" ref="G42:H42" si="16">G41</f>
        <v>1</v>
      </c>
      <c r="H42" s="91" t="b">
        <f t="shared" si="16"/>
        <v>1</v>
      </c>
      <c r="I42" s="91" t="b">
        <f t="shared" ref="I42" si="17">I41</f>
        <v>1</v>
      </c>
      <c r="J42" s="105" t="b">
        <f t="shared" ref="J42" si="18">J41</f>
        <v>1</v>
      </c>
      <c r="K42" s="110"/>
    </row>
    <row r="43" spans="1:11" x14ac:dyDescent="0.25">
      <c r="A43" s="93" t="s">
        <v>109</v>
      </c>
      <c r="B43" s="94"/>
      <c r="C43" s="94"/>
      <c r="D43" s="92"/>
      <c r="E43" s="22"/>
      <c r="F43" s="22"/>
      <c r="G43" s="90" t="b">
        <f>SUM(E44:E47)&lt;=1.001</f>
        <v>1</v>
      </c>
      <c r="H43" s="90" t="b">
        <f>SUM(F44:F47)&gt;=0.999</f>
        <v>1</v>
      </c>
      <c r="I43" s="90" t="b">
        <f>IF(COUNTBLANK(E44:F47)=0, TRUE, FALSE)</f>
        <v>1</v>
      </c>
      <c r="J43" s="106" t="b">
        <f>AND(G43,H43,I43)</f>
        <v>1</v>
      </c>
      <c r="K43" s="110"/>
    </row>
    <row r="44" spans="1:11" ht="33" customHeight="1" x14ac:dyDescent="0.25">
      <c r="A44" s="48" t="s">
        <v>127</v>
      </c>
      <c r="B44" s="5" t="s">
        <v>175</v>
      </c>
      <c r="C44" s="5" t="s">
        <v>78</v>
      </c>
      <c r="D44" s="5" t="s">
        <v>67</v>
      </c>
      <c r="E44" s="21">
        <v>0.33532721995885001</v>
      </c>
      <c r="F44" s="21">
        <v>0.33532721995885001</v>
      </c>
      <c r="G44" s="91" t="b">
        <f t="shared" ref="G44:J44" si="19">G43</f>
        <v>1</v>
      </c>
      <c r="H44" s="91" t="b">
        <f t="shared" si="19"/>
        <v>1</v>
      </c>
      <c r="I44" s="91" t="b">
        <f t="shared" si="19"/>
        <v>1</v>
      </c>
      <c r="J44" s="105" t="b">
        <f t="shared" si="19"/>
        <v>1</v>
      </c>
      <c r="K44" s="110"/>
    </row>
    <row r="45" spans="1:11" x14ac:dyDescent="0.25">
      <c r="A45" s="48" t="s">
        <v>119</v>
      </c>
      <c r="B45" s="5" t="s">
        <v>175</v>
      </c>
      <c r="C45" s="5" t="s">
        <v>78</v>
      </c>
      <c r="D45" s="5" t="s">
        <v>1</v>
      </c>
      <c r="E45" s="21">
        <v>0.645433363763949</v>
      </c>
      <c r="F45" s="21">
        <v>0.645433363763949</v>
      </c>
      <c r="G45" s="91" t="b">
        <f t="shared" ref="G45:J47" si="20">G44</f>
        <v>1</v>
      </c>
      <c r="H45" s="91" t="b">
        <f t="shared" si="20"/>
        <v>1</v>
      </c>
      <c r="I45" s="91" t="b">
        <f t="shared" si="20"/>
        <v>1</v>
      </c>
      <c r="J45" s="105" t="b">
        <f t="shared" si="20"/>
        <v>1</v>
      </c>
      <c r="K45" s="110"/>
    </row>
    <row r="46" spans="1:11" ht="30" x14ac:dyDescent="0.25">
      <c r="A46" s="48" t="s">
        <v>223</v>
      </c>
      <c r="B46" s="5" t="s">
        <v>175</v>
      </c>
      <c r="C46" s="5" t="s">
        <v>78</v>
      </c>
      <c r="D46" s="5" t="s">
        <v>29</v>
      </c>
      <c r="E46" s="21">
        <v>1.9239416277200199E-2</v>
      </c>
      <c r="F46" s="21">
        <v>1.9239416277200199E-2</v>
      </c>
      <c r="G46" s="105" t="b">
        <f t="shared" si="20"/>
        <v>1</v>
      </c>
      <c r="H46" s="105" t="b">
        <f t="shared" si="20"/>
        <v>1</v>
      </c>
      <c r="I46" s="105" t="b">
        <f t="shared" si="20"/>
        <v>1</v>
      </c>
      <c r="J46" s="105" t="b">
        <f t="shared" si="20"/>
        <v>1</v>
      </c>
      <c r="K46" s="110"/>
    </row>
    <row r="47" spans="1:11" ht="30.75" thickBot="1" x14ac:dyDescent="0.3">
      <c r="A47" s="48" t="s">
        <v>118</v>
      </c>
      <c r="B47" s="5" t="s">
        <v>175</v>
      </c>
      <c r="C47" s="5" t="s">
        <v>78</v>
      </c>
      <c r="D47" s="5" t="s">
        <v>26</v>
      </c>
      <c r="E47" s="21">
        <v>1E-4</v>
      </c>
      <c r="F47" s="21">
        <v>1E-4</v>
      </c>
      <c r="G47" s="105" t="b">
        <f t="shared" si="20"/>
        <v>1</v>
      </c>
      <c r="H47" s="105" t="b">
        <f t="shared" si="20"/>
        <v>1</v>
      </c>
      <c r="I47" s="105" t="b">
        <f t="shared" si="20"/>
        <v>1</v>
      </c>
      <c r="J47" s="105" t="b">
        <f>J46</f>
        <v>1</v>
      </c>
      <c r="K47" s="110"/>
    </row>
    <row r="48" spans="1:11" ht="15.75" thickBot="1" x14ac:dyDescent="0.3">
      <c r="A48" s="88" t="s">
        <v>174</v>
      </c>
      <c r="B48" s="35"/>
      <c r="C48" s="35"/>
      <c r="D48" s="35"/>
      <c r="E48" s="36"/>
      <c r="F48" s="36"/>
      <c r="G48" s="37"/>
      <c r="H48" s="37"/>
      <c r="I48" s="37"/>
      <c r="J48" s="108"/>
      <c r="K48" s="110"/>
    </row>
    <row r="49" spans="1:11" x14ac:dyDescent="0.25">
      <c r="A49" s="46" t="s">
        <v>178</v>
      </c>
      <c r="B49" s="89"/>
      <c r="C49" s="89"/>
      <c r="D49" s="89"/>
      <c r="E49" s="20"/>
      <c r="F49" s="20"/>
      <c r="G49" s="90" t="b">
        <f>SUM(E50:E53)&lt;=1.001</f>
        <v>1</v>
      </c>
      <c r="H49" s="90" t="b">
        <f>SUM(F50:F53)&gt;=0.999</f>
        <v>1</v>
      </c>
      <c r="I49" s="90" t="b">
        <f>IF(COUNTBLANK(E50:F53)=0, TRUE, FALSE)</f>
        <v>1</v>
      </c>
      <c r="J49" s="106" t="b">
        <f>AND(G49,H49,I49)</f>
        <v>1</v>
      </c>
      <c r="K49" s="110"/>
    </row>
    <row r="50" spans="1:11" ht="30" x14ac:dyDescent="0.25">
      <c r="A50" s="48" t="s">
        <v>305</v>
      </c>
      <c r="B50" s="5" t="s">
        <v>175</v>
      </c>
      <c r="C50" s="5" t="s">
        <v>67</v>
      </c>
      <c r="D50" s="5" t="s">
        <v>34</v>
      </c>
      <c r="E50" s="21">
        <v>0.09</v>
      </c>
      <c r="F50" s="21">
        <v>0.09</v>
      </c>
      <c r="G50" s="91" t="b">
        <f t="shared" ref="G50:J51" si="21">G49</f>
        <v>1</v>
      </c>
      <c r="H50" s="91" t="b">
        <f t="shared" si="21"/>
        <v>1</v>
      </c>
      <c r="I50" s="91" t="b">
        <f t="shared" si="21"/>
        <v>1</v>
      </c>
      <c r="J50" s="105" t="b">
        <f t="shared" si="21"/>
        <v>1</v>
      </c>
      <c r="K50" s="110"/>
    </row>
    <row r="51" spans="1:11" x14ac:dyDescent="0.25">
      <c r="A51" s="48" t="s">
        <v>119</v>
      </c>
      <c r="B51" s="5" t="s">
        <v>175</v>
      </c>
      <c r="C51" s="5" t="s">
        <v>67</v>
      </c>
      <c r="D51" s="5" t="s">
        <v>1</v>
      </c>
      <c r="E51" s="21">
        <v>6.2790000000000003E-4</v>
      </c>
      <c r="F51" s="21">
        <v>6.2790000000000003E-4</v>
      </c>
      <c r="G51" s="91" t="b">
        <f t="shared" si="21"/>
        <v>1</v>
      </c>
      <c r="H51" s="91" t="b">
        <f t="shared" si="21"/>
        <v>1</v>
      </c>
      <c r="I51" s="91" t="b">
        <f t="shared" si="21"/>
        <v>1</v>
      </c>
      <c r="J51" s="91" t="b">
        <f t="shared" si="21"/>
        <v>1</v>
      </c>
      <c r="K51" s="110"/>
    </row>
    <row r="52" spans="1:11" ht="30" x14ac:dyDescent="0.25">
      <c r="A52" s="48" t="s">
        <v>123</v>
      </c>
      <c r="B52" s="5" t="s">
        <v>175</v>
      </c>
      <c r="C52" s="5" t="s">
        <v>67</v>
      </c>
      <c r="D52" s="5" t="s">
        <v>63</v>
      </c>
      <c r="E52" s="21">
        <v>5.6511E-3</v>
      </c>
      <c r="F52" s="21">
        <v>5.6511E-3</v>
      </c>
      <c r="G52" s="91" t="b">
        <f>G51</f>
        <v>1</v>
      </c>
      <c r="H52" s="91" t="b">
        <f t="shared" ref="G52:H55" si="22">H51</f>
        <v>1</v>
      </c>
      <c r="I52" s="91" t="b">
        <f t="shared" ref="I52" si="23">I51</f>
        <v>1</v>
      </c>
      <c r="J52" s="105" t="b">
        <f t="shared" ref="J52" si="24">J51</f>
        <v>1</v>
      </c>
      <c r="K52" s="110"/>
    </row>
    <row r="53" spans="1:11" ht="30" x14ac:dyDescent="0.25">
      <c r="A53" s="48" t="s">
        <v>122</v>
      </c>
      <c r="B53" s="5" t="s">
        <v>175</v>
      </c>
      <c r="C53" s="5" t="s">
        <v>67</v>
      </c>
      <c r="D53" s="5" t="s">
        <v>49</v>
      </c>
      <c r="E53" s="21">
        <v>0.903721</v>
      </c>
      <c r="F53" s="21">
        <v>0.903721</v>
      </c>
      <c r="G53" s="91" t="b">
        <f>G52</f>
        <v>1</v>
      </c>
      <c r="H53" s="91" t="b">
        <f t="shared" si="22"/>
        <v>1</v>
      </c>
      <c r="I53" s="91" t="b">
        <f t="shared" ref="I53" si="25">I52</f>
        <v>1</v>
      </c>
      <c r="J53" s="105" t="b">
        <f t="shared" ref="J53" si="26">J52</f>
        <v>1</v>
      </c>
      <c r="K53" s="110"/>
    </row>
    <row r="54" spans="1:11" x14ac:dyDescent="0.25">
      <c r="A54" s="93" t="s">
        <v>179</v>
      </c>
      <c r="B54" s="94"/>
      <c r="C54" s="94"/>
      <c r="D54" s="92"/>
      <c r="E54" s="22"/>
      <c r="F54" s="22"/>
      <c r="G54" s="90" t="b">
        <f>SUM(E55:E57)&lt;=1.001</f>
        <v>1</v>
      </c>
      <c r="H54" s="90" t="b">
        <f>SUM(F55:F57)&gt;=0.999</f>
        <v>1</v>
      </c>
      <c r="I54" s="90" t="b">
        <f>IF(COUNTBLANK(E55:F57)=0, TRUE, FALSE)</f>
        <v>1</v>
      </c>
      <c r="J54" s="106" t="b">
        <f>AND(G54,H54,I54)</f>
        <v>1</v>
      </c>
      <c r="K54" s="110"/>
    </row>
    <row r="55" spans="1:11" ht="45" x14ac:dyDescent="0.25">
      <c r="A55" s="48" t="s">
        <v>128</v>
      </c>
      <c r="B55" s="5" t="s">
        <v>175</v>
      </c>
      <c r="C55" s="5" t="s">
        <v>49</v>
      </c>
      <c r="D55" s="5" t="s">
        <v>40</v>
      </c>
      <c r="E55" s="21">
        <v>0.57110141766630296</v>
      </c>
      <c r="F55" s="21">
        <v>0.57110141766630296</v>
      </c>
      <c r="G55" s="91" t="b">
        <f t="shared" si="22"/>
        <v>1</v>
      </c>
      <c r="H55" s="91" t="b">
        <f t="shared" si="22"/>
        <v>1</v>
      </c>
      <c r="I55" s="91" t="b">
        <f t="shared" ref="I55" si="27">I54</f>
        <v>1</v>
      </c>
      <c r="J55" s="105" t="b">
        <f t="shared" ref="J55:J57" si="28">J54</f>
        <v>1</v>
      </c>
      <c r="K55" s="110"/>
    </row>
    <row r="56" spans="1:11" ht="19.5" customHeight="1" x14ac:dyDescent="0.25">
      <c r="A56" s="48" t="s">
        <v>140</v>
      </c>
      <c r="B56" s="5" t="s">
        <v>175</v>
      </c>
      <c r="C56" s="5" t="s">
        <v>49</v>
      </c>
      <c r="D56" s="5" t="s">
        <v>33</v>
      </c>
      <c r="E56" s="21">
        <v>0.110141766630316</v>
      </c>
      <c r="F56" s="21">
        <v>0.110141766630316</v>
      </c>
      <c r="G56" s="91"/>
      <c r="H56" s="91"/>
      <c r="I56" s="91"/>
      <c r="J56" s="105" t="b">
        <f t="shared" si="28"/>
        <v>1</v>
      </c>
      <c r="K56" s="110"/>
    </row>
    <row r="57" spans="1:11" ht="15.75" thickBot="1" x14ac:dyDescent="0.3">
      <c r="A57" s="48" t="s">
        <v>141</v>
      </c>
      <c r="B57" s="5" t="s">
        <v>175</v>
      </c>
      <c r="C57" s="5" t="s">
        <v>49</v>
      </c>
      <c r="D57" s="5" t="s">
        <v>27</v>
      </c>
      <c r="E57" s="21">
        <v>0.31875681570337999</v>
      </c>
      <c r="F57" s="21">
        <v>0.31875681570337999</v>
      </c>
      <c r="G57" s="91" t="b">
        <f>G55</f>
        <v>1</v>
      </c>
      <c r="H57" s="91" t="b">
        <f>H55</f>
        <v>1</v>
      </c>
      <c r="I57" s="91" t="b">
        <f>I55</f>
        <v>1</v>
      </c>
      <c r="J57" s="105" t="b">
        <f t="shared" si="28"/>
        <v>1</v>
      </c>
      <c r="K57" s="110"/>
    </row>
    <row r="58" spans="1:11" ht="15.75" thickBot="1" x14ac:dyDescent="0.3">
      <c r="A58" s="88" t="s">
        <v>88</v>
      </c>
      <c r="B58" s="35"/>
      <c r="C58" s="35"/>
      <c r="D58" s="35"/>
      <c r="E58" s="36"/>
      <c r="F58" s="36"/>
      <c r="G58" s="37"/>
      <c r="H58" s="37"/>
      <c r="I58" s="37"/>
      <c r="J58" s="108"/>
      <c r="K58" s="110"/>
    </row>
    <row r="59" spans="1:11" x14ac:dyDescent="0.25">
      <c r="A59" s="93" t="s">
        <v>180</v>
      </c>
      <c r="B59" s="94"/>
      <c r="C59" s="94"/>
      <c r="D59" s="92"/>
      <c r="E59" s="24"/>
      <c r="F59" s="24"/>
      <c r="G59" s="90" t="b">
        <f>SUM(E60:E62)&lt;=1.001</f>
        <v>1</v>
      </c>
      <c r="H59" s="90" t="b">
        <f>SUM(F60:F62)&gt;=0.999</f>
        <v>1</v>
      </c>
      <c r="I59" s="90" t="b">
        <f>IF(COUNTBLANK(E60:F62)=0, TRUE, FALSE)</f>
        <v>1</v>
      </c>
      <c r="J59" s="106" t="b">
        <f>AND(G59,H59,I59)</f>
        <v>1</v>
      </c>
      <c r="K59" s="110"/>
    </row>
    <row r="60" spans="1:11" ht="30" x14ac:dyDescent="0.25">
      <c r="A60" s="48" t="s">
        <v>136</v>
      </c>
      <c r="B60" s="5" t="s">
        <v>175</v>
      </c>
      <c r="C60" s="5" t="s">
        <v>50</v>
      </c>
      <c r="D60" s="5" t="s">
        <v>52</v>
      </c>
      <c r="E60" s="21">
        <v>5.0000000000000001E-3</v>
      </c>
      <c r="F60" s="21">
        <v>5.0000000000000001E-3</v>
      </c>
      <c r="G60" s="91" t="b">
        <f>G59</f>
        <v>1</v>
      </c>
      <c r="H60" s="91" t="b">
        <f t="shared" ref="H60:J62" si="29">H59</f>
        <v>1</v>
      </c>
      <c r="I60" s="91" t="b">
        <f t="shared" ref="I60:I62" si="30">I59</f>
        <v>1</v>
      </c>
      <c r="J60" s="105" t="b">
        <f t="shared" si="29"/>
        <v>1</v>
      </c>
      <c r="K60" s="110"/>
    </row>
    <row r="61" spans="1:11" ht="45" x14ac:dyDescent="0.25">
      <c r="A61" s="48" t="s">
        <v>314</v>
      </c>
      <c r="B61" s="5" t="s">
        <v>175</v>
      </c>
      <c r="C61" s="5" t="s">
        <v>50</v>
      </c>
      <c r="D61" s="5" t="s">
        <v>54</v>
      </c>
      <c r="E61" s="21">
        <v>5.0000000000000001E-3</v>
      </c>
      <c r="F61" s="21">
        <v>5.0000000000000001E-3</v>
      </c>
      <c r="G61" s="91" t="b">
        <f>G60</f>
        <v>1</v>
      </c>
      <c r="H61" s="91" t="b">
        <f t="shared" si="29"/>
        <v>1</v>
      </c>
      <c r="I61" s="91" t="b">
        <f t="shared" si="30"/>
        <v>1</v>
      </c>
      <c r="J61" s="105" t="b">
        <f t="shared" si="29"/>
        <v>1</v>
      </c>
      <c r="K61" s="110"/>
    </row>
    <row r="62" spans="1:11" ht="49.5" customHeight="1" x14ac:dyDescent="0.25">
      <c r="A62" s="48" t="s">
        <v>315</v>
      </c>
      <c r="B62" s="5" t="s">
        <v>175</v>
      </c>
      <c r="C62" s="5" t="s">
        <v>50</v>
      </c>
      <c r="D62" s="5" t="s">
        <v>55</v>
      </c>
      <c r="E62" s="21">
        <v>0.99</v>
      </c>
      <c r="F62" s="21">
        <v>0.99</v>
      </c>
      <c r="G62" s="91" t="b">
        <f>G61</f>
        <v>1</v>
      </c>
      <c r="H62" s="91" t="b">
        <f t="shared" si="29"/>
        <v>1</v>
      </c>
      <c r="I62" s="91" t="b">
        <f t="shared" si="30"/>
        <v>1</v>
      </c>
      <c r="J62" s="105" t="b">
        <f t="shared" si="29"/>
        <v>1</v>
      </c>
      <c r="K62" s="110"/>
    </row>
    <row r="63" spans="1:11" x14ac:dyDescent="0.25">
      <c r="A63" s="93" t="s">
        <v>181</v>
      </c>
      <c r="B63" s="94"/>
      <c r="C63" s="94"/>
      <c r="D63" s="92"/>
      <c r="E63" s="22"/>
      <c r="F63" s="22"/>
      <c r="G63" s="90" t="b">
        <f>SUM(E64:E66)&lt;=1.001</f>
        <v>1</v>
      </c>
      <c r="H63" s="90" t="b">
        <f>SUM(F64:F66)&gt;=0.999</f>
        <v>1</v>
      </c>
      <c r="I63" s="90" t="b">
        <f>IF(COUNTBLANK(E64:F66)=0, TRUE, FALSE)</f>
        <v>1</v>
      </c>
      <c r="J63" s="106" t="b">
        <f>AND(G63,H63,I63)</f>
        <v>1</v>
      </c>
      <c r="K63" s="110"/>
    </row>
    <row r="64" spans="1:11" ht="45" x14ac:dyDescent="0.25">
      <c r="A64" s="48" t="s">
        <v>309</v>
      </c>
      <c r="B64" s="5" t="s">
        <v>175</v>
      </c>
      <c r="C64" s="5" t="s">
        <v>54</v>
      </c>
      <c r="D64" s="5" t="s">
        <v>53</v>
      </c>
      <c r="E64" s="21">
        <v>0.379</v>
      </c>
      <c r="F64" s="21">
        <v>0.379</v>
      </c>
      <c r="G64" s="91" t="b">
        <f>G63</f>
        <v>1</v>
      </c>
      <c r="H64" s="91" t="b">
        <f t="shared" ref="H64:J78" si="31">H63</f>
        <v>1</v>
      </c>
      <c r="I64" s="91" t="b">
        <f t="shared" ref="I64" si="32">I63</f>
        <v>1</v>
      </c>
      <c r="J64" s="105" t="b">
        <f t="shared" si="31"/>
        <v>1</v>
      </c>
      <c r="K64" s="110"/>
    </row>
    <row r="65" spans="1:11" x14ac:dyDescent="0.25">
      <c r="A65" s="48" t="s">
        <v>121</v>
      </c>
      <c r="B65" s="5" t="s">
        <v>175</v>
      </c>
      <c r="C65" s="5" t="s">
        <v>54</v>
      </c>
      <c r="D65" s="5" t="s">
        <v>32</v>
      </c>
      <c r="E65" s="21">
        <v>1.5299999999999999E-2</v>
      </c>
      <c r="F65" s="21">
        <v>1.5299999999999999E-2</v>
      </c>
      <c r="G65" s="91" t="b">
        <f>G64</f>
        <v>1</v>
      </c>
      <c r="H65" s="91" t="b">
        <f t="shared" si="31"/>
        <v>1</v>
      </c>
      <c r="I65" s="91" t="b">
        <f t="shared" ref="I65" si="33">I64</f>
        <v>1</v>
      </c>
      <c r="J65" s="105" t="b">
        <f t="shared" si="31"/>
        <v>1</v>
      </c>
      <c r="K65" s="110"/>
    </row>
    <row r="66" spans="1:11" x14ac:dyDescent="0.25">
      <c r="A66" s="48" t="s">
        <v>142</v>
      </c>
      <c r="B66" s="5" t="s">
        <v>175</v>
      </c>
      <c r="C66" s="5" t="s">
        <v>54</v>
      </c>
      <c r="D66" s="5" t="s">
        <v>1</v>
      </c>
      <c r="E66" s="21">
        <v>0.60570000000000002</v>
      </c>
      <c r="F66" s="21">
        <v>0.60570000000000002</v>
      </c>
      <c r="G66" s="91" t="b">
        <f>G65</f>
        <v>1</v>
      </c>
      <c r="H66" s="91" t="b">
        <f t="shared" si="31"/>
        <v>1</v>
      </c>
      <c r="I66" s="91" t="b">
        <f t="shared" ref="I66" si="34">I65</f>
        <v>1</v>
      </c>
      <c r="J66" s="105" t="b">
        <f t="shared" si="31"/>
        <v>1</v>
      </c>
      <c r="K66" s="110"/>
    </row>
    <row r="67" spans="1:11" x14ac:dyDescent="0.25">
      <c r="A67" s="93" t="s">
        <v>182</v>
      </c>
      <c r="B67" s="94"/>
      <c r="C67" s="94"/>
      <c r="D67" s="92"/>
      <c r="E67" s="22"/>
      <c r="F67" s="22"/>
      <c r="G67" s="90" t="b">
        <f>SUM(E68:E70)&lt;=1.001</f>
        <v>1</v>
      </c>
      <c r="H67" s="90" t="b">
        <f>SUM(F68:F70)&gt;=0.999</f>
        <v>1</v>
      </c>
      <c r="I67" s="90" t="b">
        <f>IF(COUNTBLANK(E68:F70)=0, TRUE, FALSE)</f>
        <v>1</v>
      </c>
      <c r="J67" s="106" t="b">
        <f>AND(G67,H67,I67)</f>
        <v>1</v>
      </c>
      <c r="K67" s="110"/>
    </row>
    <row r="68" spans="1:11" ht="43.5" customHeight="1" x14ac:dyDescent="0.25">
      <c r="A68" s="48" t="s">
        <v>310</v>
      </c>
      <c r="B68" s="5" t="s">
        <v>175</v>
      </c>
      <c r="C68" s="5" t="s">
        <v>55</v>
      </c>
      <c r="D68" s="5" t="s">
        <v>53</v>
      </c>
      <c r="E68" s="21">
        <v>0.379</v>
      </c>
      <c r="F68" s="21">
        <v>0.379</v>
      </c>
      <c r="G68" s="91" t="b">
        <f>G67</f>
        <v>1</v>
      </c>
      <c r="H68" s="91" t="b">
        <f t="shared" si="31"/>
        <v>1</v>
      </c>
      <c r="I68" s="91" t="b">
        <f t="shared" ref="I68" si="35">I67</f>
        <v>1</v>
      </c>
      <c r="J68" s="105" t="b">
        <f t="shared" si="31"/>
        <v>1</v>
      </c>
      <c r="K68" s="110"/>
    </row>
    <row r="69" spans="1:11" x14ac:dyDescent="0.25">
      <c r="A69" s="48" t="s">
        <v>121</v>
      </c>
      <c r="B69" s="5" t="s">
        <v>175</v>
      </c>
      <c r="C69" s="5" t="s">
        <v>55</v>
      </c>
      <c r="D69" s="5" t="s">
        <v>32</v>
      </c>
      <c r="E69" s="21">
        <v>1.5299999999999999E-2</v>
      </c>
      <c r="F69" s="21">
        <v>1.5299999999999999E-2</v>
      </c>
      <c r="G69" s="91" t="b">
        <f>G68</f>
        <v>1</v>
      </c>
      <c r="H69" s="91" t="b">
        <f t="shared" si="31"/>
        <v>1</v>
      </c>
      <c r="I69" s="91" t="b">
        <f t="shared" ref="I69" si="36">I68</f>
        <v>1</v>
      </c>
      <c r="J69" s="105" t="b">
        <f t="shared" si="31"/>
        <v>1</v>
      </c>
      <c r="K69" s="110"/>
    </row>
    <row r="70" spans="1:11" x14ac:dyDescent="0.25">
      <c r="A70" s="48" t="s">
        <v>142</v>
      </c>
      <c r="B70" s="5" t="s">
        <v>175</v>
      </c>
      <c r="C70" s="5" t="s">
        <v>55</v>
      </c>
      <c r="D70" s="5" t="s">
        <v>1</v>
      </c>
      <c r="E70" s="21">
        <v>0.60570000000000002</v>
      </c>
      <c r="F70" s="21">
        <v>0.60570000000000002</v>
      </c>
      <c r="G70" s="91" t="b">
        <f>G69</f>
        <v>1</v>
      </c>
      <c r="H70" s="91" t="b">
        <f t="shared" si="31"/>
        <v>1</v>
      </c>
      <c r="I70" s="91" t="b">
        <f t="shared" ref="I70" si="37">I69</f>
        <v>1</v>
      </c>
      <c r="J70" s="105" t="b">
        <f t="shared" si="31"/>
        <v>1</v>
      </c>
      <c r="K70" s="110"/>
    </row>
    <row r="71" spans="1:11" x14ac:dyDescent="0.25">
      <c r="A71" s="93" t="s">
        <v>183</v>
      </c>
      <c r="B71" s="94"/>
      <c r="C71" s="94"/>
      <c r="D71" s="92"/>
      <c r="E71" s="22"/>
      <c r="F71" s="22"/>
      <c r="G71" s="90" t="b">
        <f>SUM(E72:E74)&lt;=1.001</f>
        <v>1</v>
      </c>
      <c r="H71" s="90" t="b">
        <f>SUM(F72:F74)&gt;=0.999</f>
        <v>1</v>
      </c>
      <c r="I71" s="90" t="b">
        <f>IF(COUNTBLANK(E72:F74)=0, TRUE, FALSE)</f>
        <v>1</v>
      </c>
      <c r="J71" s="106" t="b">
        <f>AND(G71,H71,I71)</f>
        <v>1</v>
      </c>
      <c r="K71" s="110"/>
    </row>
    <row r="72" spans="1:11" ht="32.25" customHeight="1" x14ac:dyDescent="0.25">
      <c r="A72" s="48" t="s">
        <v>311</v>
      </c>
      <c r="B72" s="5" t="s">
        <v>175</v>
      </c>
      <c r="C72" s="5" t="s">
        <v>58</v>
      </c>
      <c r="D72" s="5" t="s">
        <v>57</v>
      </c>
      <c r="E72" s="21">
        <v>0.94262043259364203</v>
      </c>
      <c r="F72" s="21">
        <v>0.94262043259364203</v>
      </c>
      <c r="G72" s="91" t="b">
        <f>G71</f>
        <v>1</v>
      </c>
      <c r="H72" s="91" t="b">
        <f t="shared" si="31"/>
        <v>1</v>
      </c>
      <c r="I72" s="91" t="b">
        <f t="shared" ref="I72" si="38">I71</f>
        <v>1</v>
      </c>
      <c r="J72" s="105" t="b">
        <f t="shared" si="31"/>
        <v>1</v>
      </c>
      <c r="K72" s="110"/>
    </row>
    <row r="73" spans="1:11" x14ac:dyDescent="0.25">
      <c r="A73" s="48" t="s">
        <v>121</v>
      </c>
      <c r="B73" s="5" t="s">
        <v>175</v>
      </c>
      <c r="C73" s="5" t="s">
        <v>58</v>
      </c>
      <c r="D73" s="5" t="s">
        <v>33</v>
      </c>
      <c r="E73" s="21">
        <v>5.56836154083242E-2</v>
      </c>
      <c r="F73" s="21">
        <v>5.56836154083242E-2</v>
      </c>
      <c r="G73" s="91" t="b">
        <f>G72</f>
        <v>1</v>
      </c>
      <c r="H73" s="91" t="b">
        <f t="shared" si="31"/>
        <v>1</v>
      </c>
      <c r="I73" s="91" t="b">
        <f t="shared" ref="I73" si="39">I72</f>
        <v>1</v>
      </c>
      <c r="J73" s="105" t="b">
        <f t="shared" si="31"/>
        <v>1</v>
      </c>
      <c r="K73" s="110"/>
    </row>
    <row r="74" spans="1:11" x14ac:dyDescent="0.25">
      <c r="A74" s="48" t="s">
        <v>137</v>
      </c>
      <c r="B74" s="5" t="s">
        <v>175</v>
      </c>
      <c r="C74" s="5" t="s">
        <v>58</v>
      </c>
      <c r="D74" s="5" t="s">
        <v>31</v>
      </c>
      <c r="E74" s="21">
        <v>1.6999999999999999E-3</v>
      </c>
      <c r="F74" s="21">
        <v>1.6999999999999999E-3</v>
      </c>
      <c r="G74" s="91" t="b">
        <f>G73</f>
        <v>1</v>
      </c>
      <c r="H74" s="91" t="b">
        <f t="shared" si="31"/>
        <v>1</v>
      </c>
      <c r="I74" s="91" t="b">
        <f t="shared" ref="I74" si="40">I73</f>
        <v>1</v>
      </c>
      <c r="J74" s="105" t="b">
        <f t="shared" si="31"/>
        <v>1</v>
      </c>
      <c r="K74" s="110"/>
    </row>
    <row r="75" spans="1:11" x14ac:dyDescent="0.25">
      <c r="A75" s="93" t="s">
        <v>184</v>
      </c>
      <c r="B75" s="94"/>
      <c r="C75" s="94"/>
      <c r="D75" s="92"/>
      <c r="E75" s="22"/>
      <c r="F75" s="22"/>
      <c r="G75" s="90" t="b">
        <f>SUM(E76:E79)&lt;=1.001</f>
        <v>1</v>
      </c>
      <c r="H75" s="90" t="b">
        <f>SUM(F76:F79)&gt;=0.999</f>
        <v>1</v>
      </c>
      <c r="I75" s="90" t="b">
        <f>IF(COUNTBLANK(E76:F79)=0, TRUE, FALSE)</f>
        <v>1</v>
      </c>
      <c r="J75" s="106" t="b">
        <f>AND(G75,H75,I75)</f>
        <v>1</v>
      </c>
      <c r="K75" s="110"/>
    </row>
    <row r="76" spans="1:11" ht="33" customHeight="1" x14ac:dyDescent="0.25">
      <c r="A76" s="48" t="s">
        <v>312</v>
      </c>
      <c r="B76" s="5" t="s">
        <v>175</v>
      </c>
      <c r="C76" s="5" t="s">
        <v>59</v>
      </c>
      <c r="D76" s="5" t="s">
        <v>57</v>
      </c>
      <c r="E76" s="21">
        <v>0.94262043259364203</v>
      </c>
      <c r="F76" s="21">
        <v>0.94262043259364203</v>
      </c>
      <c r="G76" s="91" t="b">
        <f>G75</f>
        <v>1</v>
      </c>
      <c r="H76" s="91" t="b">
        <f t="shared" si="31"/>
        <v>1</v>
      </c>
      <c r="I76" s="91" t="b">
        <f t="shared" ref="I76" si="41">I75</f>
        <v>1</v>
      </c>
      <c r="J76" s="105" t="b">
        <f t="shared" si="31"/>
        <v>1</v>
      </c>
      <c r="K76" s="110"/>
    </row>
    <row r="77" spans="1:11" x14ac:dyDescent="0.25">
      <c r="A77" s="48" t="s">
        <v>121</v>
      </c>
      <c r="B77" s="5" t="s">
        <v>175</v>
      </c>
      <c r="C77" s="5" t="s">
        <v>59</v>
      </c>
      <c r="D77" s="5" t="s">
        <v>33</v>
      </c>
      <c r="E77" s="21">
        <v>3.9176245461689102E-2</v>
      </c>
      <c r="F77" s="21">
        <v>3.9176245461689102E-2</v>
      </c>
      <c r="G77" s="91" t="b">
        <f>G76</f>
        <v>1</v>
      </c>
      <c r="H77" s="91" t="b">
        <f t="shared" si="31"/>
        <v>1</v>
      </c>
      <c r="I77" s="91" t="b">
        <f t="shared" ref="I77" si="42">I76</f>
        <v>1</v>
      </c>
      <c r="J77" s="105" t="b">
        <f t="shared" si="31"/>
        <v>1</v>
      </c>
      <c r="K77" s="110"/>
    </row>
    <row r="78" spans="1:11" x14ac:dyDescent="0.25">
      <c r="A78" s="48" t="s">
        <v>119</v>
      </c>
      <c r="B78" s="5" t="s">
        <v>175</v>
      </c>
      <c r="C78" s="5" t="s">
        <v>59</v>
      </c>
      <c r="D78" s="5" t="s">
        <v>1</v>
      </c>
      <c r="E78" s="21">
        <v>1.6513661996379599E-2</v>
      </c>
      <c r="F78" s="21">
        <v>1.6513661996379599E-2</v>
      </c>
      <c r="G78" s="91"/>
      <c r="H78" s="91"/>
      <c r="I78" s="91"/>
      <c r="J78" s="105" t="b">
        <f t="shared" si="31"/>
        <v>1</v>
      </c>
      <c r="K78" s="110"/>
    </row>
    <row r="79" spans="1:11" ht="15.75" thickBot="1" x14ac:dyDescent="0.3">
      <c r="A79" s="48" t="s">
        <v>137</v>
      </c>
      <c r="B79" s="5" t="s">
        <v>175</v>
      </c>
      <c r="C79" s="5" t="s">
        <v>59</v>
      </c>
      <c r="D79" s="5" t="s">
        <v>31</v>
      </c>
      <c r="E79" s="21">
        <v>1.6999999999999999E-3</v>
      </c>
      <c r="F79" s="21">
        <v>1.6999999999999999E-3</v>
      </c>
      <c r="G79" s="91" t="b">
        <f>G77</f>
        <v>1</v>
      </c>
      <c r="H79" s="91" t="b">
        <f>H77</f>
        <v>1</v>
      </c>
      <c r="I79" s="91" t="b">
        <f t="shared" ref="I79" si="43">I77</f>
        <v>1</v>
      </c>
      <c r="J79" s="105" t="b">
        <f>J77</f>
        <v>1</v>
      </c>
      <c r="K79" s="110"/>
    </row>
    <row r="80" spans="1:11" ht="15.75" thickBot="1" x14ac:dyDescent="0.3">
      <c r="A80" s="88" t="s">
        <v>308</v>
      </c>
      <c r="B80" s="35"/>
      <c r="C80" s="35"/>
      <c r="D80" s="35"/>
      <c r="E80" s="36"/>
      <c r="F80" s="36"/>
      <c r="G80" s="37"/>
      <c r="H80" s="37"/>
      <c r="I80" s="37"/>
      <c r="J80" s="108"/>
      <c r="K80" s="110"/>
    </row>
    <row r="81" spans="1:11" x14ac:dyDescent="0.25">
      <c r="A81" s="93" t="s">
        <v>185</v>
      </c>
      <c r="B81" s="94"/>
      <c r="C81" s="94"/>
      <c r="D81" s="92"/>
      <c r="E81" s="24"/>
      <c r="F81" s="24"/>
      <c r="G81" s="90" t="b">
        <f>SUM(E82:E84)&lt;=1.001</f>
        <v>1</v>
      </c>
      <c r="H81" s="90" t="b">
        <f>SUM(F82:F84)&gt;=0.999</f>
        <v>1</v>
      </c>
      <c r="I81" s="90" t="b">
        <f>IF(COUNTBLANK(E82:F84)=0, TRUE, FALSE)</f>
        <v>1</v>
      </c>
      <c r="J81" s="106" t="b">
        <f>AND(G81,H81,I81)</f>
        <v>1</v>
      </c>
      <c r="K81" s="110"/>
    </row>
    <row r="82" spans="1:11" ht="46.5" customHeight="1" x14ac:dyDescent="0.25">
      <c r="A82" s="48" t="s">
        <v>317</v>
      </c>
      <c r="B82" s="5" t="s">
        <v>175</v>
      </c>
      <c r="C82" s="5" t="s">
        <v>71</v>
      </c>
      <c r="D82" s="5" t="s">
        <v>81</v>
      </c>
      <c r="E82" s="21">
        <v>0.105</v>
      </c>
      <c r="F82" s="21">
        <v>0.105</v>
      </c>
      <c r="G82" s="91" t="b">
        <f>G81</f>
        <v>1</v>
      </c>
      <c r="H82" s="91" t="b">
        <f t="shared" ref="H82:J83" si="44">H81</f>
        <v>1</v>
      </c>
      <c r="I82" s="91" t="b">
        <f t="shared" si="44"/>
        <v>1</v>
      </c>
      <c r="J82" s="105" t="b">
        <f t="shared" si="44"/>
        <v>1</v>
      </c>
      <c r="K82" s="110"/>
    </row>
    <row r="83" spans="1:11" x14ac:dyDescent="0.25">
      <c r="A83" s="48" t="s">
        <v>119</v>
      </c>
      <c r="B83" s="5" t="s">
        <v>175</v>
      </c>
      <c r="C83" s="5" t="s">
        <v>71</v>
      </c>
      <c r="D83" s="5" t="s">
        <v>82</v>
      </c>
      <c r="E83" s="21">
        <v>0.873</v>
      </c>
      <c r="F83" s="21">
        <v>0.873</v>
      </c>
      <c r="G83" s="91" t="b">
        <f>G82</f>
        <v>1</v>
      </c>
      <c r="H83" s="91" t="b">
        <f t="shared" ref="H83" si="45">H82</f>
        <v>1</v>
      </c>
      <c r="I83" s="91" t="b">
        <f t="shared" si="44"/>
        <v>1</v>
      </c>
      <c r="J83" s="105" t="b">
        <f t="shared" si="44"/>
        <v>1</v>
      </c>
      <c r="K83" s="110"/>
    </row>
    <row r="84" spans="1:11" x14ac:dyDescent="0.25">
      <c r="A84" s="48" t="s">
        <v>224</v>
      </c>
      <c r="B84" s="5" t="s">
        <v>175</v>
      </c>
      <c r="C84" s="5" t="s">
        <v>71</v>
      </c>
      <c r="D84" s="5" t="s">
        <v>83</v>
      </c>
      <c r="E84" s="21">
        <v>2.1999999999999999E-2</v>
      </c>
      <c r="F84" s="21">
        <v>2.1999999999999999E-2</v>
      </c>
      <c r="G84" s="91"/>
      <c r="H84" s="91"/>
      <c r="I84" s="91"/>
      <c r="J84" s="105" t="b">
        <f t="shared" ref="J84" si="46">J83</f>
        <v>1</v>
      </c>
      <c r="K84" s="110"/>
    </row>
    <row r="85" spans="1:11" x14ac:dyDescent="0.25">
      <c r="A85" s="93" t="s">
        <v>186</v>
      </c>
      <c r="B85" s="94"/>
      <c r="C85" s="94"/>
      <c r="D85" s="92"/>
      <c r="E85" s="24"/>
      <c r="F85" s="24"/>
      <c r="G85" s="90" t="b">
        <f>SUM(E86,E242)&lt;=1.001</f>
        <v>1</v>
      </c>
      <c r="H85" s="90" t="b">
        <f>SUM(F86,F242)&gt;=0.999</f>
        <v>1</v>
      </c>
      <c r="I85" s="90" t="b">
        <f>IF(COUNTBLANK(E86:F86)=0, TRUE, FALSE)</f>
        <v>1</v>
      </c>
      <c r="J85" s="106" t="b">
        <f>AND(G85,H85,I85)</f>
        <v>1</v>
      </c>
      <c r="K85" s="110"/>
    </row>
    <row r="86" spans="1:11" ht="45" x14ac:dyDescent="0.25">
      <c r="A86" s="48" t="s">
        <v>279</v>
      </c>
      <c r="B86" s="5" t="s">
        <v>175</v>
      </c>
      <c r="C86" s="5" t="s">
        <v>48</v>
      </c>
      <c r="D86" s="5" t="s">
        <v>3</v>
      </c>
      <c r="E86" s="21">
        <v>0.97001986863918799</v>
      </c>
      <c r="F86" s="21">
        <v>0.97001986863918799</v>
      </c>
      <c r="G86" s="91" t="b">
        <f t="shared" ref="G86:H86" si="47">G85</f>
        <v>1</v>
      </c>
      <c r="H86" s="91" t="b">
        <f t="shared" si="47"/>
        <v>1</v>
      </c>
      <c r="I86" s="91" t="b">
        <f t="shared" ref="I86" si="48">I85</f>
        <v>1</v>
      </c>
      <c r="J86" s="105" t="b">
        <f t="shared" ref="J86" si="49">J85</f>
        <v>1</v>
      </c>
      <c r="K86" s="110"/>
    </row>
    <row r="87" spans="1:11" x14ac:dyDescent="0.25">
      <c r="A87" s="93" t="s">
        <v>187</v>
      </c>
      <c r="B87" s="94"/>
      <c r="C87" s="94"/>
      <c r="D87" s="92"/>
      <c r="E87" s="22"/>
      <c r="F87" s="22"/>
      <c r="G87" s="90" t="b">
        <f>SUM(E88:E90)&lt;=1.001</f>
        <v>1</v>
      </c>
      <c r="H87" s="90" t="b">
        <f>SUM(F88:F90)&gt;=0.999</f>
        <v>1</v>
      </c>
      <c r="I87" s="90" t="b">
        <f>IF(COUNTBLANK(E88:F90)=0, TRUE, FALSE)</f>
        <v>1</v>
      </c>
      <c r="J87" s="106" t="b">
        <f>AND(G87,H87,I87)</f>
        <v>1</v>
      </c>
      <c r="K87" s="110"/>
    </row>
    <row r="88" spans="1:11" ht="30" x14ac:dyDescent="0.25">
      <c r="A88" s="48" t="s">
        <v>125</v>
      </c>
      <c r="B88" s="5" t="s">
        <v>175</v>
      </c>
      <c r="C88" s="5" t="s">
        <v>68</v>
      </c>
      <c r="D88" s="5" t="s">
        <v>3</v>
      </c>
      <c r="E88" s="21">
        <v>9.7000000000000003E-3</v>
      </c>
      <c r="F88" s="21">
        <v>9.7000000000000003E-3</v>
      </c>
      <c r="G88" s="91" t="b">
        <f t="shared" ref="G88:H90" si="50">G87</f>
        <v>1</v>
      </c>
      <c r="H88" s="91" t="b">
        <f t="shared" si="50"/>
        <v>1</v>
      </c>
      <c r="I88" s="91" t="b">
        <f t="shared" ref="I88" si="51">I87</f>
        <v>1</v>
      </c>
      <c r="J88" s="105" t="b">
        <f>J87</f>
        <v>1</v>
      </c>
      <c r="K88" s="110"/>
    </row>
    <row r="89" spans="1:11" x14ac:dyDescent="0.25">
      <c r="A89" s="48" t="s">
        <v>120</v>
      </c>
      <c r="B89" s="5" t="s">
        <v>175</v>
      </c>
      <c r="C89" s="5" t="s">
        <v>68</v>
      </c>
      <c r="D89" s="5" t="s">
        <v>26</v>
      </c>
      <c r="E89" s="21">
        <v>2.9999999999999997E-4</v>
      </c>
      <c r="F89" s="21">
        <v>2.9999999999999997E-4</v>
      </c>
      <c r="G89" s="91" t="b">
        <f t="shared" si="50"/>
        <v>1</v>
      </c>
      <c r="H89" s="91" t="b">
        <f t="shared" si="50"/>
        <v>1</v>
      </c>
      <c r="I89" s="91" t="b">
        <f t="shared" ref="I89" si="52">I88</f>
        <v>1</v>
      </c>
      <c r="J89" s="105" t="b">
        <f t="shared" ref="J89" si="53">J88</f>
        <v>1</v>
      </c>
      <c r="K89" s="110"/>
    </row>
    <row r="90" spans="1:11" ht="15.75" thickBot="1" x14ac:dyDescent="0.3">
      <c r="A90" s="48" t="s">
        <v>115</v>
      </c>
      <c r="B90" s="5" t="s">
        <v>175</v>
      </c>
      <c r="C90" s="5" t="s">
        <v>68</v>
      </c>
      <c r="D90" s="5" t="s">
        <v>46</v>
      </c>
      <c r="E90" s="21">
        <v>0.99</v>
      </c>
      <c r="F90" s="21">
        <v>0.99</v>
      </c>
      <c r="G90" s="91" t="b">
        <f t="shared" si="50"/>
        <v>1</v>
      </c>
      <c r="H90" s="91" t="b">
        <f t="shared" si="50"/>
        <v>1</v>
      </c>
      <c r="I90" s="91" t="b">
        <f t="shared" ref="I90" si="54">I89</f>
        <v>1</v>
      </c>
      <c r="J90" s="105" t="b">
        <f t="shared" ref="J90" si="55">J89</f>
        <v>1</v>
      </c>
      <c r="K90" s="110"/>
    </row>
    <row r="91" spans="1:11" ht="15.75" thickBot="1" x14ac:dyDescent="0.3">
      <c r="A91" s="88" t="s">
        <v>293</v>
      </c>
      <c r="B91" s="35"/>
      <c r="C91" s="35"/>
      <c r="D91" s="35"/>
      <c r="E91" s="36"/>
      <c r="F91" s="36"/>
      <c r="G91" s="37"/>
      <c r="H91" s="37"/>
      <c r="I91" s="37"/>
      <c r="J91" s="108"/>
      <c r="K91" s="110"/>
    </row>
    <row r="92" spans="1:11" x14ac:dyDescent="0.25">
      <c r="A92" s="93" t="s">
        <v>188</v>
      </c>
      <c r="B92" s="94"/>
      <c r="C92" s="94"/>
      <c r="D92" s="92"/>
      <c r="E92" s="24"/>
      <c r="F92" s="24"/>
      <c r="G92" s="90" t="b">
        <f>SUM(E93:E96)&lt;=1.001</f>
        <v>1</v>
      </c>
      <c r="H92" s="90" t="b">
        <f>SUM(F93:F96)&gt;=0.999</f>
        <v>1</v>
      </c>
      <c r="I92" s="90" t="b">
        <f>IF(COUNTBLANK(E93:F96)=0, TRUE, FALSE)</f>
        <v>1</v>
      </c>
      <c r="J92" s="106" t="b">
        <f>AND(G92,H92,I92)</f>
        <v>1</v>
      </c>
      <c r="K92" s="110"/>
    </row>
    <row r="93" spans="1:11" ht="30" x14ac:dyDescent="0.25">
      <c r="A93" s="48" t="s">
        <v>129</v>
      </c>
      <c r="B93" s="5" t="s">
        <v>175</v>
      </c>
      <c r="C93" s="5" t="s">
        <v>42</v>
      </c>
      <c r="D93" s="5" t="s">
        <v>46</v>
      </c>
      <c r="E93" s="21">
        <v>0.97709043727787603</v>
      </c>
      <c r="F93" s="21">
        <v>0.97709043727787603</v>
      </c>
      <c r="G93" s="91" t="b">
        <f t="shared" ref="G93:J96" si="56">G92</f>
        <v>1</v>
      </c>
      <c r="H93" s="91" t="b">
        <f t="shared" si="56"/>
        <v>1</v>
      </c>
      <c r="I93" s="91" t="b">
        <f t="shared" si="56"/>
        <v>1</v>
      </c>
      <c r="J93" s="105" t="b">
        <f t="shared" si="56"/>
        <v>1</v>
      </c>
      <c r="K93" s="110"/>
    </row>
    <row r="94" spans="1:11" x14ac:dyDescent="0.25">
      <c r="A94" s="48" t="s">
        <v>145</v>
      </c>
      <c r="B94" s="5" t="s">
        <v>175</v>
      </c>
      <c r="C94" s="5" t="s">
        <v>42</v>
      </c>
      <c r="D94" s="5" t="s">
        <v>45</v>
      </c>
      <c r="E94" s="21">
        <v>1.0161033693172099E-2</v>
      </c>
      <c r="F94" s="21">
        <v>1.0161033693172099E-2</v>
      </c>
      <c r="G94" s="91" t="b">
        <f t="shared" si="56"/>
        <v>1</v>
      </c>
      <c r="H94" s="91" t="b">
        <f t="shared" si="56"/>
        <v>1</v>
      </c>
      <c r="I94" s="91" t="b">
        <f t="shared" si="56"/>
        <v>1</v>
      </c>
      <c r="J94" s="105" t="b">
        <f t="shared" si="56"/>
        <v>1</v>
      </c>
      <c r="K94" s="110"/>
    </row>
    <row r="95" spans="1:11" x14ac:dyDescent="0.25">
      <c r="A95" s="48" t="s">
        <v>144</v>
      </c>
      <c r="B95" s="5" t="s">
        <v>175</v>
      </c>
      <c r="C95" s="5" t="s">
        <v>42</v>
      </c>
      <c r="D95" s="5" t="s">
        <v>32</v>
      </c>
      <c r="E95" s="21">
        <v>1.0174627049283299E-3</v>
      </c>
      <c r="F95" s="21">
        <v>1.0174627049283299E-3</v>
      </c>
      <c r="G95" s="91" t="b">
        <f t="shared" si="56"/>
        <v>1</v>
      </c>
      <c r="H95" s="91" t="b">
        <f t="shared" si="56"/>
        <v>1</v>
      </c>
      <c r="I95" s="91" t="b">
        <f t="shared" si="56"/>
        <v>1</v>
      </c>
      <c r="J95" s="105" t="b">
        <f t="shared" si="56"/>
        <v>1</v>
      </c>
      <c r="K95" s="110"/>
    </row>
    <row r="96" spans="1:11" x14ac:dyDescent="0.25">
      <c r="A96" s="48" t="s">
        <v>120</v>
      </c>
      <c r="B96" s="5" t="s">
        <v>175</v>
      </c>
      <c r="C96" s="5" t="s">
        <v>42</v>
      </c>
      <c r="D96" s="5" t="s">
        <v>26</v>
      </c>
      <c r="E96" s="21">
        <v>1.17310663240234E-2</v>
      </c>
      <c r="F96" s="21">
        <v>1.17310663240234E-2</v>
      </c>
      <c r="G96" s="91" t="b">
        <f t="shared" si="56"/>
        <v>1</v>
      </c>
      <c r="H96" s="91" t="b">
        <f t="shared" si="56"/>
        <v>1</v>
      </c>
      <c r="I96" s="91" t="b">
        <f t="shared" si="56"/>
        <v>1</v>
      </c>
      <c r="J96" s="105" t="b">
        <f t="shared" si="56"/>
        <v>1</v>
      </c>
      <c r="K96" s="110"/>
    </row>
    <row r="97" spans="1:11" x14ac:dyDescent="0.25">
      <c r="A97" s="93" t="s">
        <v>189</v>
      </c>
      <c r="B97" s="94"/>
      <c r="C97" s="94"/>
      <c r="D97" s="92"/>
      <c r="E97" s="24"/>
      <c r="F97" s="24"/>
      <c r="G97" s="90" t="b">
        <f>SUM(E98,E243)&lt;=1.001</f>
        <v>1</v>
      </c>
      <c r="H97" s="90" t="b">
        <f>SUM(F98,F243)&gt;=0.999</f>
        <v>1</v>
      </c>
      <c r="I97" s="90" t="b">
        <f>IF(COUNTBLANK(E98:F98)=0, TRUE, FALSE)</f>
        <v>1</v>
      </c>
      <c r="J97" s="106" t="b">
        <f>AND(G97,H97,I97)</f>
        <v>1</v>
      </c>
      <c r="K97" s="110"/>
    </row>
    <row r="98" spans="1:11" ht="45" x14ac:dyDescent="0.25">
      <c r="A98" s="48" t="s">
        <v>130</v>
      </c>
      <c r="B98" s="5" t="s">
        <v>175</v>
      </c>
      <c r="C98" s="5" t="s">
        <v>43</v>
      </c>
      <c r="D98" s="5" t="s">
        <v>46</v>
      </c>
      <c r="E98" s="21">
        <v>0.51984585741811096</v>
      </c>
      <c r="F98" s="21">
        <v>0.51984585741811096</v>
      </c>
      <c r="G98" s="91" t="b">
        <f>G97</f>
        <v>1</v>
      </c>
      <c r="H98" s="91" t="b">
        <f>H97</f>
        <v>1</v>
      </c>
      <c r="I98" s="91" t="b">
        <f>I97</f>
        <v>1</v>
      </c>
      <c r="J98" s="105" t="b">
        <f>J97</f>
        <v>1</v>
      </c>
      <c r="K98" s="110"/>
    </row>
    <row r="99" spans="1:11" x14ac:dyDescent="0.25">
      <c r="A99" s="93" t="s">
        <v>190</v>
      </c>
      <c r="B99" s="94"/>
      <c r="C99" s="94"/>
      <c r="D99" s="92"/>
      <c r="E99" s="24"/>
      <c r="F99" s="24"/>
      <c r="G99" s="90" t="b">
        <f>SUM(E100:E102)&lt;=1.001</f>
        <v>1</v>
      </c>
      <c r="H99" s="90" t="b">
        <f>SUM(F100:F102)&gt;=0.999</f>
        <v>1</v>
      </c>
      <c r="I99" s="90" t="b">
        <f>IF(COUNTBLANK(E100:F102)=0, TRUE, FALSE)</f>
        <v>1</v>
      </c>
      <c r="J99" s="106" t="b">
        <f>AND(G99,H99,I99)</f>
        <v>1</v>
      </c>
      <c r="K99" s="110"/>
    </row>
    <row r="100" spans="1:11" ht="30" x14ac:dyDescent="0.25">
      <c r="A100" s="48" t="s">
        <v>131</v>
      </c>
      <c r="B100" s="5" t="s">
        <v>175</v>
      </c>
      <c r="C100" s="5" t="s">
        <v>44</v>
      </c>
      <c r="D100" s="5" t="s">
        <v>46</v>
      </c>
      <c r="E100" s="21">
        <v>0.47561935405466399</v>
      </c>
      <c r="F100" s="21">
        <v>0.47561935405466399</v>
      </c>
      <c r="G100" s="91" t="b">
        <f>G99</f>
        <v>1</v>
      </c>
      <c r="H100" s="91" t="b">
        <f t="shared" ref="H100:J102" si="57">H99</f>
        <v>1</v>
      </c>
      <c r="I100" s="91" t="b">
        <f t="shared" ref="I100" si="58">I99</f>
        <v>1</v>
      </c>
      <c r="J100" s="105" t="b">
        <f t="shared" si="57"/>
        <v>1</v>
      </c>
      <c r="K100" s="110"/>
    </row>
    <row r="101" spans="1:11" x14ac:dyDescent="0.25">
      <c r="A101" s="48" t="s">
        <v>144</v>
      </c>
      <c r="B101" s="5" t="s">
        <v>175</v>
      </c>
      <c r="C101" s="5" t="s">
        <v>44</v>
      </c>
      <c r="D101" s="5" t="s">
        <v>32</v>
      </c>
      <c r="E101" s="21">
        <v>1.0185126243482301E-3</v>
      </c>
      <c r="F101" s="21">
        <v>1.0185126243482301E-3</v>
      </c>
      <c r="G101" s="91" t="b">
        <f>G100</f>
        <v>1</v>
      </c>
      <c r="H101" s="91" t="b">
        <f t="shared" si="57"/>
        <v>1</v>
      </c>
      <c r="I101" s="91" t="b">
        <f t="shared" ref="I101" si="59">I100</f>
        <v>1</v>
      </c>
      <c r="J101" s="105" t="b">
        <f t="shared" si="57"/>
        <v>1</v>
      </c>
      <c r="K101" s="110"/>
    </row>
    <row r="102" spans="1:11" x14ac:dyDescent="0.25">
      <c r="A102" s="48" t="s">
        <v>318</v>
      </c>
      <c r="B102" s="5" t="s">
        <v>175</v>
      </c>
      <c r="C102" s="5" t="s">
        <v>44</v>
      </c>
      <c r="D102" s="5" t="s">
        <v>23</v>
      </c>
      <c r="E102" s="21">
        <v>0.52336213332098702</v>
      </c>
      <c r="F102" s="21">
        <v>0.52336213332098702</v>
      </c>
      <c r="G102" s="91" t="b">
        <f>G101</f>
        <v>1</v>
      </c>
      <c r="H102" s="91" t="b">
        <f t="shared" si="57"/>
        <v>1</v>
      </c>
      <c r="I102" s="91" t="b">
        <f t="shared" ref="I102" si="60">I101</f>
        <v>1</v>
      </c>
      <c r="J102" s="105" t="b">
        <f t="shared" si="57"/>
        <v>1</v>
      </c>
      <c r="K102" s="110"/>
    </row>
    <row r="103" spans="1:11" x14ac:dyDescent="0.25">
      <c r="A103" s="46" t="s">
        <v>191</v>
      </c>
      <c r="B103" s="89"/>
      <c r="C103" s="89"/>
      <c r="D103" s="89"/>
      <c r="E103" s="20"/>
      <c r="F103" s="20"/>
      <c r="G103" s="90" t="b">
        <f>SUM(E104:E107)&lt;=1.001</f>
        <v>1</v>
      </c>
      <c r="H103" s="90" t="b">
        <f>SUM(F104:F107)&gt;=0.999</f>
        <v>1</v>
      </c>
      <c r="I103" s="90" t="b">
        <f>IF(COUNTBLANK(E104:F107)=0, TRUE, FALSE)</f>
        <v>1</v>
      </c>
      <c r="J103" s="106" t="b">
        <f>AND(G103,H103,I103)</f>
        <v>1</v>
      </c>
      <c r="K103" s="110"/>
    </row>
    <row r="104" spans="1:11" ht="45" x14ac:dyDescent="0.25">
      <c r="A104" s="48" t="s">
        <v>124</v>
      </c>
      <c r="B104" s="5" t="s">
        <v>175</v>
      </c>
      <c r="C104" s="9" t="s">
        <v>79</v>
      </c>
      <c r="D104" s="5" t="s">
        <v>45</v>
      </c>
      <c r="E104" s="21">
        <v>0.13500000000000001</v>
      </c>
      <c r="F104" s="21">
        <v>0.13500000000000001</v>
      </c>
      <c r="G104" s="91" t="b">
        <f t="shared" ref="G104:J107" si="61">G103</f>
        <v>1</v>
      </c>
      <c r="H104" s="91" t="b">
        <f t="shared" si="61"/>
        <v>1</v>
      </c>
      <c r="I104" s="91" t="b">
        <f t="shared" ref="I104" si="62">I103</f>
        <v>1</v>
      </c>
      <c r="J104" s="105" t="b">
        <f t="shared" si="61"/>
        <v>1</v>
      </c>
      <c r="K104" s="110"/>
    </row>
    <row r="105" spans="1:11" x14ac:dyDescent="0.25">
      <c r="A105" s="48" t="s">
        <v>119</v>
      </c>
      <c r="B105" s="5" t="s">
        <v>175</v>
      </c>
      <c r="C105" s="9" t="s">
        <v>79</v>
      </c>
      <c r="D105" s="5" t="s">
        <v>1</v>
      </c>
      <c r="E105" s="21">
        <v>0.7</v>
      </c>
      <c r="F105" s="21">
        <v>0.7</v>
      </c>
      <c r="G105" s="91" t="b">
        <f t="shared" ref="G105:H105" si="63">G104</f>
        <v>1</v>
      </c>
      <c r="H105" s="91" t="b">
        <f t="shared" si="63"/>
        <v>1</v>
      </c>
      <c r="I105" s="91" t="b">
        <f t="shared" ref="I105" si="64">I104</f>
        <v>1</v>
      </c>
      <c r="J105" s="105" t="b">
        <f t="shared" si="61"/>
        <v>1</v>
      </c>
      <c r="K105" s="110"/>
    </row>
    <row r="106" spans="1:11" x14ac:dyDescent="0.25">
      <c r="A106" s="48" t="s">
        <v>144</v>
      </c>
      <c r="B106" s="5" t="s">
        <v>175</v>
      </c>
      <c r="C106" s="9" t="s">
        <v>79</v>
      </c>
      <c r="D106" s="5" t="s">
        <v>32</v>
      </c>
      <c r="E106" s="21">
        <v>1.4999999999999999E-2</v>
      </c>
      <c r="F106" s="21">
        <v>1.4999999999999999E-2</v>
      </c>
      <c r="G106" s="91" t="b">
        <f t="shared" ref="G106:H106" si="65">G105</f>
        <v>1</v>
      </c>
      <c r="H106" s="91" t="b">
        <f t="shared" si="65"/>
        <v>1</v>
      </c>
      <c r="I106" s="91" t="b">
        <f t="shared" ref="I106" si="66">I105</f>
        <v>1</v>
      </c>
      <c r="J106" s="105" t="b">
        <f t="shared" si="61"/>
        <v>1</v>
      </c>
      <c r="K106" s="110"/>
    </row>
    <row r="107" spans="1:11" x14ac:dyDescent="0.25">
      <c r="A107" s="48" t="s">
        <v>120</v>
      </c>
      <c r="B107" s="5" t="s">
        <v>175</v>
      </c>
      <c r="C107" s="9" t="s">
        <v>79</v>
      </c>
      <c r="D107" s="5" t="s">
        <v>26</v>
      </c>
      <c r="E107" s="21">
        <v>0.15</v>
      </c>
      <c r="F107" s="21">
        <v>0.15</v>
      </c>
      <c r="G107" s="91" t="b">
        <f t="shared" ref="G107:H107" si="67">G106</f>
        <v>1</v>
      </c>
      <c r="H107" s="91" t="b">
        <f t="shared" si="67"/>
        <v>1</v>
      </c>
      <c r="I107" s="91" t="b">
        <f t="shared" ref="I107" si="68">I106</f>
        <v>1</v>
      </c>
      <c r="J107" s="105" t="b">
        <f t="shared" si="61"/>
        <v>1</v>
      </c>
      <c r="K107" s="110"/>
    </row>
    <row r="108" spans="1:11" x14ac:dyDescent="0.25">
      <c r="A108" s="93" t="s">
        <v>192</v>
      </c>
      <c r="B108" s="94"/>
      <c r="C108" s="94"/>
      <c r="D108" s="92"/>
      <c r="E108" s="24"/>
      <c r="F108" s="24"/>
      <c r="G108" s="90" t="b">
        <f>SUM(E109,E244)&lt;=1.001</f>
        <v>1</v>
      </c>
      <c r="H108" s="90" t="b">
        <f>SUM(F109,F244)&gt;=0.999</f>
        <v>1</v>
      </c>
      <c r="I108" s="90" t="b">
        <f>IF(COUNTBLANK(E109:F109)=0, TRUE, FALSE)</f>
        <v>1</v>
      </c>
      <c r="J108" s="106" t="b">
        <f>AND(G108,H108,I108)</f>
        <v>1</v>
      </c>
      <c r="K108" s="110"/>
    </row>
    <row r="109" spans="1:11" ht="45.75" thickBot="1" x14ac:dyDescent="0.3">
      <c r="A109" s="48" t="s">
        <v>132</v>
      </c>
      <c r="B109" s="5" t="s">
        <v>175</v>
      </c>
      <c r="C109" s="5" t="s">
        <v>45</v>
      </c>
      <c r="D109" s="5" t="s">
        <v>32</v>
      </c>
      <c r="E109" s="21">
        <v>0.2</v>
      </c>
      <c r="F109" s="21">
        <v>0.2</v>
      </c>
      <c r="G109" s="91" t="b">
        <f>G108</f>
        <v>1</v>
      </c>
      <c r="H109" s="91" t="b">
        <f>H108</f>
        <v>1</v>
      </c>
      <c r="I109" s="91" t="b">
        <f>I108</f>
        <v>1</v>
      </c>
      <c r="J109" s="105" t="b">
        <f>J108</f>
        <v>1</v>
      </c>
      <c r="K109" s="110"/>
    </row>
    <row r="110" spans="1:11" ht="15.75" thickBot="1" x14ac:dyDescent="0.3">
      <c r="A110" s="88" t="s">
        <v>278</v>
      </c>
      <c r="B110" s="35"/>
      <c r="C110" s="35"/>
      <c r="D110" s="35"/>
      <c r="E110" s="36"/>
      <c r="F110" s="36"/>
      <c r="G110" s="37"/>
      <c r="H110" s="37"/>
      <c r="I110" s="37"/>
      <c r="J110" s="108"/>
      <c r="K110" s="110"/>
    </row>
    <row r="111" spans="1:11" x14ac:dyDescent="0.25">
      <c r="A111" s="93" t="s">
        <v>193</v>
      </c>
      <c r="B111" s="94"/>
      <c r="C111" s="94"/>
      <c r="D111" s="92"/>
      <c r="E111" s="24"/>
      <c r="F111" s="24"/>
      <c r="G111" s="90" t="b">
        <f>SUM(E112,E258)&lt;=1.001</f>
        <v>1</v>
      </c>
      <c r="H111" s="90" t="b">
        <f>SUM(F112,F258)&gt;=0.999</f>
        <v>1</v>
      </c>
      <c r="I111" s="90" t="b">
        <f>IF(COUNTBLANK(E112:F112)=0, TRUE, FALSE)</f>
        <v>1</v>
      </c>
      <c r="J111" s="106" t="b">
        <f>AND(G111,H111,I111)</f>
        <v>1</v>
      </c>
      <c r="K111" s="110"/>
    </row>
    <row r="112" spans="1:11" ht="45" x14ac:dyDescent="0.25">
      <c r="A112" s="48" t="s">
        <v>281</v>
      </c>
      <c r="B112" s="5" t="s">
        <v>176</v>
      </c>
      <c r="C112" s="5" t="s">
        <v>3</v>
      </c>
      <c r="D112" s="5" t="s">
        <v>4</v>
      </c>
      <c r="E112" s="21">
        <v>4.2000000000000003E-2</v>
      </c>
      <c r="F112" s="21">
        <v>4.2000000000000003E-2</v>
      </c>
      <c r="G112" s="91" t="b">
        <f t="shared" ref="G112:G134" si="69">G111</f>
        <v>1</v>
      </c>
      <c r="H112" s="91" t="b">
        <f t="shared" ref="H112:J112" si="70">H111</f>
        <v>1</v>
      </c>
      <c r="I112" s="91" t="b">
        <f t="shared" ref="I112" si="71">I111</f>
        <v>1</v>
      </c>
      <c r="J112" s="105" t="b">
        <f t="shared" si="70"/>
        <v>1</v>
      </c>
      <c r="K112" s="110"/>
    </row>
    <row r="113" spans="1:11" x14ac:dyDescent="0.25">
      <c r="A113" s="93" t="s">
        <v>194</v>
      </c>
      <c r="B113" s="94"/>
      <c r="C113" s="94"/>
      <c r="D113" s="92"/>
      <c r="E113" s="22"/>
      <c r="F113" s="22"/>
      <c r="G113" s="90" t="b">
        <f>SUM(E114,E257)&lt;=1.001</f>
        <v>1</v>
      </c>
      <c r="H113" s="90" t="b">
        <f>SUM(F114,F257)&gt;=0.999</f>
        <v>1</v>
      </c>
      <c r="I113" s="90" t="b">
        <f>IF(COUNTBLANK(E114:F114)=0, TRUE, FALSE)</f>
        <v>1</v>
      </c>
      <c r="J113" s="106" t="b">
        <f>AND(G113,H113,I113)</f>
        <v>1</v>
      </c>
      <c r="K113" s="110"/>
    </row>
    <row r="114" spans="1:11" ht="45" x14ac:dyDescent="0.25">
      <c r="A114" s="48" t="s">
        <v>282</v>
      </c>
      <c r="B114" s="5" t="s">
        <v>176</v>
      </c>
      <c r="C114" s="5" t="s">
        <v>5</v>
      </c>
      <c r="D114" s="5" t="s">
        <v>6</v>
      </c>
      <c r="E114" s="21">
        <v>4.2000000000000003E-2</v>
      </c>
      <c r="F114" s="21">
        <v>4.2000000000000003E-2</v>
      </c>
      <c r="G114" s="91" t="b">
        <f t="shared" si="69"/>
        <v>1</v>
      </c>
      <c r="H114" s="91" t="b">
        <f t="shared" ref="H114:J114" si="72">H113</f>
        <v>1</v>
      </c>
      <c r="I114" s="91" t="b">
        <f t="shared" ref="I114" si="73">I113</f>
        <v>1</v>
      </c>
      <c r="J114" s="105" t="b">
        <f t="shared" si="72"/>
        <v>1</v>
      </c>
      <c r="K114" s="110"/>
    </row>
    <row r="115" spans="1:11" x14ac:dyDescent="0.25">
      <c r="A115" s="93" t="s">
        <v>195</v>
      </c>
      <c r="B115" s="94"/>
      <c r="C115" s="94"/>
      <c r="D115" s="92"/>
      <c r="E115" s="22"/>
      <c r="F115" s="22"/>
      <c r="G115" s="90" t="b">
        <f>SUM(E116,E256)&lt;=1.001</f>
        <v>1</v>
      </c>
      <c r="H115" s="90" t="b">
        <f>SUM(F116,F256)&gt;=0.999</f>
        <v>1</v>
      </c>
      <c r="I115" s="90" t="b">
        <f>IF(COUNTBLANK(E116:F116)=0, TRUE, FALSE)</f>
        <v>1</v>
      </c>
      <c r="J115" s="106" t="b">
        <f>AND(G115,H115,I115)</f>
        <v>1</v>
      </c>
      <c r="K115" s="110"/>
    </row>
    <row r="116" spans="1:11" ht="45" x14ac:dyDescent="0.25">
      <c r="A116" s="48" t="s">
        <v>283</v>
      </c>
      <c r="B116" s="5" t="s">
        <v>176</v>
      </c>
      <c r="C116" s="5" t="s">
        <v>10</v>
      </c>
      <c r="D116" s="5" t="s">
        <v>11</v>
      </c>
      <c r="E116" s="21">
        <v>4.2000000000000003E-2</v>
      </c>
      <c r="F116" s="21">
        <v>4.2000000000000003E-2</v>
      </c>
      <c r="G116" s="91" t="b">
        <f t="shared" si="69"/>
        <v>1</v>
      </c>
      <c r="H116" s="91" t="b">
        <f t="shared" ref="H116:J116" si="74">H115</f>
        <v>1</v>
      </c>
      <c r="I116" s="91" t="b">
        <f t="shared" ref="I116" si="75">I115</f>
        <v>1</v>
      </c>
      <c r="J116" s="105" t="b">
        <f t="shared" si="74"/>
        <v>1</v>
      </c>
      <c r="K116" s="110"/>
    </row>
    <row r="117" spans="1:11" x14ac:dyDescent="0.25">
      <c r="A117" s="93" t="s">
        <v>196</v>
      </c>
      <c r="B117" s="94"/>
      <c r="C117" s="94"/>
      <c r="D117" s="92"/>
      <c r="E117" s="22"/>
      <c r="F117" s="22"/>
      <c r="G117" s="90" t="b">
        <f>SUM(E118,E255)&lt;=1.001</f>
        <v>1</v>
      </c>
      <c r="H117" s="90" t="b">
        <f>SUM(F118,F255)&gt;=0.999</f>
        <v>1</v>
      </c>
      <c r="I117" s="90" t="b">
        <f>IF(COUNTBLANK(E118:F118)=0, TRUE, FALSE)</f>
        <v>1</v>
      </c>
      <c r="J117" s="106" t="b">
        <f>AND(G117,H117,I117)</f>
        <v>1</v>
      </c>
      <c r="K117" s="110"/>
    </row>
    <row r="118" spans="1:11" ht="45" x14ac:dyDescent="0.25">
      <c r="A118" s="48" t="s">
        <v>284</v>
      </c>
      <c r="B118" s="5" t="s">
        <v>176</v>
      </c>
      <c r="C118" s="5" t="s">
        <v>7</v>
      </c>
      <c r="D118" s="5" t="s">
        <v>8</v>
      </c>
      <c r="E118" s="21">
        <v>4.2000000000000003E-2</v>
      </c>
      <c r="F118" s="21">
        <v>4.2000000000000003E-2</v>
      </c>
      <c r="G118" s="91" t="b">
        <f t="shared" si="69"/>
        <v>1</v>
      </c>
      <c r="H118" s="91" t="b">
        <f t="shared" ref="H118:J118" si="76">H117</f>
        <v>1</v>
      </c>
      <c r="I118" s="91" t="b">
        <f t="shared" ref="I118" si="77">I117</f>
        <v>1</v>
      </c>
      <c r="J118" s="105" t="b">
        <f t="shared" si="76"/>
        <v>1</v>
      </c>
      <c r="K118" s="110"/>
    </row>
    <row r="119" spans="1:11" x14ac:dyDescent="0.25">
      <c r="A119" s="93" t="s">
        <v>197</v>
      </c>
      <c r="B119" s="94"/>
      <c r="C119" s="94"/>
      <c r="D119" s="92"/>
      <c r="E119" s="22"/>
      <c r="F119" s="22"/>
      <c r="G119" s="90" t="b">
        <f>SUM(E120,E254)&lt;=1.001</f>
        <v>1</v>
      </c>
      <c r="H119" s="90" t="b">
        <f>SUM(F120,F254)&gt;=0.999</f>
        <v>1</v>
      </c>
      <c r="I119" s="90" t="b">
        <f>IF(COUNTBLANK(E120:F120)=0, TRUE, FALSE)</f>
        <v>1</v>
      </c>
      <c r="J119" s="106" t="b">
        <f>AND(G119,H119,I119)</f>
        <v>1</v>
      </c>
      <c r="K119" s="110"/>
    </row>
    <row r="120" spans="1:11" ht="45" x14ac:dyDescent="0.25">
      <c r="A120" s="48" t="s">
        <v>285</v>
      </c>
      <c r="B120" s="5" t="s">
        <v>176</v>
      </c>
      <c r="C120" s="5" t="s">
        <v>12</v>
      </c>
      <c r="D120" s="5" t="s">
        <v>13</v>
      </c>
      <c r="E120" s="21">
        <v>0</v>
      </c>
      <c r="F120" s="21">
        <v>0</v>
      </c>
      <c r="G120" s="91" t="b">
        <f t="shared" si="69"/>
        <v>1</v>
      </c>
      <c r="H120" s="91" t="b">
        <f t="shared" ref="H120:J120" si="78">H119</f>
        <v>1</v>
      </c>
      <c r="I120" s="91" t="b">
        <f t="shared" ref="I120" si="79">I119</f>
        <v>1</v>
      </c>
      <c r="J120" s="105" t="b">
        <f t="shared" si="78"/>
        <v>1</v>
      </c>
      <c r="K120" s="110"/>
    </row>
    <row r="121" spans="1:11" x14ac:dyDescent="0.25">
      <c r="A121" s="93" t="s">
        <v>198</v>
      </c>
      <c r="B121" s="94"/>
      <c r="C121" s="94"/>
      <c r="D121" s="92"/>
      <c r="E121" s="22"/>
      <c r="F121" s="22"/>
      <c r="G121" s="90" t="b">
        <f>SUM(E122,E253)&lt;=1.001</f>
        <v>1</v>
      </c>
      <c r="H121" s="90" t="b">
        <f>SUM(F122,F253)&gt;=0.999</f>
        <v>1</v>
      </c>
      <c r="I121" s="90" t="b">
        <f>IF(COUNTBLANK(E122:F122)=0, TRUE, FALSE)</f>
        <v>1</v>
      </c>
      <c r="J121" s="106" t="b">
        <f>AND(G121,H121,I121)</f>
        <v>1</v>
      </c>
      <c r="K121" s="110"/>
    </row>
    <row r="122" spans="1:11" ht="45" x14ac:dyDescent="0.25">
      <c r="A122" s="48" t="s">
        <v>286</v>
      </c>
      <c r="B122" s="5" t="s">
        <v>176</v>
      </c>
      <c r="C122" s="5" t="s">
        <v>15</v>
      </c>
      <c r="D122" s="5" t="s">
        <v>16</v>
      </c>
      <c r="E122" s="21">
        <v>4.2000000000000003E-2</v>
      </c>
      <c r="F122" s="21">
        <v>4.2000000000000003E-2</v>
      </c>
      <c r="G122" s="91" t="b">
        <f t="shared" si="69"/>
        <v>1</v>
      </c>
      <c r="H122" s="91" t="b">
        <f t="shared" ref="H122:J122" si="80">H121</f>
        <v>1</v>
      </c>
      <c r="I122" s="91" t="b">
        <f t="shared" ref="I122" si="81">I121</f>
        <v>1</v>
      </c>
      <c r="J122" s="105" t="b">
        <f t="shared" si="80"/>
        <v>1</v>
      </c>
      <c r="K122" s="110"/>
    </row>
    <row r="123" spans="1:11" x14ac:dyDescent="0.25">
      <c r="A123" s="93" t="s">
        <v>199</v>
      </c>
      <c r="B123" s="94"/>
      <c r="C123" s="94"/>
      <c r="D123" s="92"/>
      <c r="E123" s="22"/>
      <c r="F123" s="22"/>
      <c r="G123" s="90" t="b">
        <f>SUM(E124,E252)&lt;=1.001</f>
        <v>1</v>
      </c>
      <c r="H123" s="90" t="b">
        <f>SUM(F124,F252)&gt;=0.999</f>
        <v>1</v>
      </c>
      <c r="I123" s="90" t="b">
        <f>IF(COUNTBLANK(E124:F124)=0, TRUE, FALSE)</f>
        <v>1</v>
      </c>
      <c r="J123" s="106" t="b">
        <f>AND(G123,H123,I123)</f>
        <v>1</v>
      </c>
      <c r="K123" s="110"/>
    </row>
    <row r="124" spans="1:11" ht="45" x14ac:dyDescent="0.25">
      <c r="A124" s="48" t="s">
        <v>287</v>
      </c>
      <c r="B124" s="5" t="s">
        <v>176</v>
      </c>
      <c r="C124" s="5" t="s">
        <v>26</v>
      </c>
      <c r="D124" s="5" t="s">
        <v>27</v>
      </c>
      <c r="E124" s="21">
        <v>4.2000000000000003E-2</v>
      </c>
      <c r="F124" s="21">
        <v>4.2000000000000003E-2</v>
      </c>
      <c r="G124" s="91" t="b">
        <f t="shared" si="69"/>
        <v>1</v>
      </c>
      <c r="H124" s="91" t="b">
        <f t="shared" ref="H124:J124" si="82">H123</f>
        <v>1</v>
      </c>
      <c r="I124" s="91" t="b">
        <f t="shared" ref="I124" si="83">I123</f>
        <v>1</v>
      </c>
      <c r="J124" s="105" t="b">
        <f t="shared" si="82"/>
        <v>1</v>
      </c>
      <c r="K124" s="110"/>
    </row>
    <row r="125" spans="1:11" x14ac:dyDescent="0.25">
      <c r="A125" s="93" t="s">
        <v>200</v>
      </c>
      <c r="B125" s="94"/>
      <c r="C125" s="94"/>
      <c r="D125" s="92"/>
      <c r="E125" s="22"/>
      <c r="F125" s="22"/>
      <c r="G125" s="90" t="b">
        <f>SUM(E126,E251)&lt;=1.001</f>
        <v>1</v>
      </c>
      <c r="H125" s="90" t="b">
        <f>SUM(F126,F251)&gt;=0.999</f>
        <v>1</v>
      </c>
      <c r="I125" s="90" t="b">
        <f>IF(COUNTBLANK(E126:F126)=0, TRUE, FALSE)</f>
        <v>1</v>
      </c>
      <c r="J125" s="106" t="b">
        <f>AND(G125,H125,I125)</f>
        <v>1</v>
      </c>
      <c r="K125" s="110"/>
    </row>
    <row r="126" spans="1:11" ht="45" x14ac:dyDescent="0.25">
      <c r="A126" s="48" t="s">
        <v>288</v>
      </c>
      <c r="B126" s="5" t="s">
        <v>176</v>
      </c>
      <c r="C126" s="5" t="s">
        <v>28</v>
      </c>
      <c r="D126" s="5" t="s">
        <v>177</v>
      </c>
      <c r="E126" s="21">
        <v>4.2000000000000003E-2</v>
      </c>
      <c r="F126" s="21">
        <v>4.2000000000000003E-2</v>
      </c>
      <c r="G126" s="91" t="b">
        <f t="shared" si="69"/>
        <v>1</v>
      </c>
      <c r="H126" s="91" t="b">
        <f t="shared" ref="H126:J126" si="84">H125</f>
        <v>1</v>
      </c>
      <c r="I126" s="91" t="b">
        <f t="shared" ref="I126" si="85">I125</f>
        <v>1</v>
      </c>
      <c r="J126" s="105" t="b">
        <f t="shared" si="84"/>
        <v>1</v>
      </c>
      <c r="K126" s="110"/>
    </row>
    <row r="127" spans="1:11" x14ac:dyDescent="0.25">
      <c r="A127" s="93" t="s">
        <v>201</v>
      </c>
      <c r="B127" s="94"/>
      <c r="C127" s="94"/>
      <c r="D127" s="92"/>
      <c r="E127" s="22"/>
      <c r="F127" s="22"/>
      <c r="G127" s="90" t="b">
        <f>SUM(E128,E250)&lt;=1.001</f>
        <v>1</v>
      </c>
      <c r="H127" s="90" t="b">
        <f>SUM(F128,F250)&gt;=0.999</f>
        <v>1</v>
      </c>
      <c r="I127" s="90" t="b">
        <f>IF(COUNTBLANK(E128:F128)=0, TRUE, FALSE)</f>
        <v>1</v>
      </c>
      <c r="J127" s="106" t="b">
        <f>AND(G127,H127,I127)</f>
        <v>1</v>
      </c>
      <c r="K127" s="110"/>
    </row>
    <row r="128" spans="1:11" ht="45" x14ac:dyDescent="0.25">
      <c r="A128" s="48" t="s">
        <v>289</v>
      </c>
      <c r="B128" s="5" t="s">
        <v>176</v>
      </c>
      <c r="C128" s="5" t="s">
        <v>20</v>
      </c>
      <c r="D128" s="5" t="s">
        <v>22</v>
      </c>
      <c r="E128" s="21">
        <v>4.2000000000000003E-2</v>
      </c>
      <c r="F128" s="21">
        <v>4.2000000000000003E-2</v>
      </c>
      <c r="G128" s="91" t="b">
        <f t="shared" si="69"/>
        <v>1</v>
      </c>
      <c r="H128" s="91" t="b">
        <f t="shared" ref="H128:J128" si="86">H127</f>
        <v>1</v>
      </c>
      <c r="I128" s="91" t="b">
        <f t="shared" ref="I128" si="87">I127</f>
        <v>1</v>
      </c>
      <c r="J128" s="105" t="b">
        <f t="shared" si="86"/>
        <v>1</v>
      </c>
      <c r="K128" s="110"/>
    </row>
    <row r="129" spans="1:11" x14ac:dyDescent="0.25">
      <c r="A129" s="93" t="s">
        <v>202</v>
      </c>
      <c r="B129" s="94"/>
      <c r="C129" s="94"/>
      <c r="D129" s="92"/>
      <c r="E129" s="22"/>
      <c r="F129" s="22"/>
      <c r="G129" s="90" t="b">
        <f>SUM(E130,E249)&lt;=1.001</f>
        <v>1</v>
      </c>
      <c r="H129" s="90" t="b">
        <f>SUM(F130,F249)&gt;=0.999</f>
        <v>1</v>
      </c>
      <c r="I129" s="90" t="b">
        <f>IF(COUNTBLANK(E130:F130)=0, TRUE, FALSE)</f>
        <v>1</v>
      </c>
      <c r="J129" s="106" t="b">
        <f>AND(G129,H129,I129)</f>
        <v>1</v>
      </c>
      <c r="K129" s="110"/>
    </row>
    <row r="130" spans="1:11" ht="45" x14ac:dyDescent="0.25">
      <c r="A130" s="48" t="s">
        <v>290</v>
      </c>
      <c r="B130" s="5" t="s">
        <v>176</v>
      </c>
      <c r="C130" s="5" t="s">
        <v>35</v>
      </c>
      <c r="D130" s="5" t="s">
        <v>36</v>
      </c>
      <c r="E130" s="21">
        <v>4.2000000000000003E-2</v>
      </c>
      <c r="F130" s="21">
        <v>4.2000000000000003E-2</v>
      </c>
      <c r="G130" s="91" t="b">
        <f t="shared" si="69"/>
        <v>1</v>
      </c>
      <c r="H130" s="91" t="b">
        <f t="shared" ref="H130:J134" si="88">H129</f>
        <v>1</v>
      </c>
      <c r="I130" s="91" t="b">
        <f t="shared" ref="I130" si="89">I129</f>
        <v>1</v>
      </c>
      <c r="J130" s="105" t="b">
        <f t="shared" si="88"/>
        <v>1</v>
      </c>
      <c r="K130" s="110"/>
    </row>
    <row r="131" spans="1:11" x14ac:dyDescent="0.25">
      <c r="A131" s="93" t="s">
        <v>203</v>
      </c>
      <c r="B131" s="94"/>
      <c r="C131" s="94"/>
      <c r="D131" s="92"/>
      <c r="E131" s="22"/>
      <c r="F131" s="22"/>
      <c r="G131" s="90" t="b">
        <f>SUM(E132,E248)&lt;=1.001</f>
        <v>1</v>
      </c>
      <c r="H131" s="90" t="b">
        <f>SUM(F132,F248)&gt;=0.999</f>
        <v>1</v>
      </c>
      <c r="I131" s="90" t="b">
        <f>IF(COUNTBLANK(E132:F132)=0, TRUE, FALSE)</f>
        <v>1</v>
      </c>
      <c r="J131" s="106" t="b">
        <f>AND(G131,H131,I131)</f>
        <v>1</v>
      </c>
      <c r="K131" s="110"/>
    </row>
    <row r="132" spans="1:11" ht="45" x14ac:dyDescent="0.25">
      <c r="A132" s="48" t="s">
        <v>291</v>
      </c>
      <c r="B132" s="5" t="s">
        <v>176</v>
      </c>
      <c r="C132" s="5" t="s">
        <v>85</v>
      </c>
      <c r="D132" s="5" t="s">
        <v>84</v>
      </c>
      <c r="E132" s="21">
        <v>4.2000000000000003E-2</v>
      </c>
      <c r="F132" s="21">
        <v>4.2000000000000003E-2</v>
      </c>
      <c r="G132" s="91" t="b">
        <f t="shared" si="69"/>
        <v>1</v>
      </c>
      <c r="H132" s="91" t="b">
        <f t="shared" si="88"/>
        <v>1</v>
      </c>
      <c r="I132" s="91" t="b">
        <f t="shared" ref="I132" si="90">I131</f>
        <v>1</v>
      </c>
      <c r="J132" s="105" t="b">
        <f t="shared" si="88"/>
        <v>1</v>
      </c>
      <c r="K132" s="110"/>
    </row>
    <row r="133" spans="1:11" x14ac:dyDescent="0.25">
      <c r="A133" s="93" t="s">
        <v>204</v>
      </c>
      <c r="B133" s="94"/>
      <c r="C133" s="94"/>
      <c r="D133" s="92"/>
      <c r="E133" s="22"/>
      <c r="F133" s="22"/>
      <c r="G133" s="90" t="b">
        <f>SUM(E134,E247)&lt;=1.001</f>
        <v>1</v>
      </c>
      <c r="H133" s="90" t="b">
        <f>SUM(F134,F247)&gt;=0.999</f>
        <v>1</v>
      </c>
      <c r="I133" s="90" t="b">
        <f>IF(COUNTBLANK(E134:F134)=0, TRUE, FALSE)</f>
        <v>1</v>
      </c>
      <c r="J133" s="106" t="b">
        <f>AND(G133,H133,I133)</f>
        <v>1</v>
      </c>
      <c r="K133" s="110"/>
    </row>
    <row r="134" spans="1:11" ht="45" x14ac:dyDescent="0.25">
      <c r="A134" s="48" t="s">
        <v>292</v>
      </c>
      <c r="B134" s="5" t="s">
        <v>176</v>
      </c>
      <c r="C134" s="5" t="s">
        <v>93</v>
      </c>
      <c r="D134" s="5" t="s">
        <v>31</v>
      </c>
      <c r="E134" s="21">
        <v>0</v>
      </c>
      <c r="F134" s="21">
        <v>0</v>
      </c>
      <c r="G134" s="91" t="b">
        <f t="shared" si="69"/>
        <v>1</v>
      </c>
      <c r="H134" s="91" t="b">
        <f t="shared" si="88"/>
        <v>1</v>
      </c>
      <c r="I134" s="91" t="b">
        <f t="shared" ref="I134" si="91">I133</f>
        <v>1</v>
      </c>
      <c r="J134" s="105" t="b">
        <f t="shared" si="88"/>
        <v>1</v>
      </c>
      <c r="K134" s="110"/>
    </row>
    <row r="135" spans="1:11" x14ac:dyDescent="0.25">
      <c r="A135" s="93" t="s">
        <v>205</v>
      </c>
      <c r="B135" s="94"/>
      <c r="C135" s="94"/>
      <c r="D135" s="92"/>
      <c r="E135" s="22"/>
      <c r="F135" s="22"/>
      <c r="G135" s="90" t="b">
        <f>SUM(E136,E259)&lt;=1.001</f>
        <v>1</v>
      </c>
      <c r="H135" s="90" t="b">
        <f>SUM(F136,F259)&gt;=0.999</f>
        <v>1</v>
      </c>
      <c r="I135" s="90" t="b">
        <f>IF(COUNTBLANK(E136:F136)=0, TRUE, FALSE)</f>
        <v>1</v>
      </c>
      <c r="J135" s="106" t="b">
        <f>AND(G135,H135,I135)</f>
        <v>1</v>
      </c>
      <c r="K135" s="110"/>
    </row>
    <row r="136" spans="1:11" ht="45.75" thickBot="1" x14ac:dyDescent="0.3">
      <c r="A136" s="48" t="s">
        <v>280</v>
      </c>
      <c r="B136" s="5" t="s">
        <v>176</v>
      </c>
      <c r="C136" s="5" t="s">
        <v>24</v>
      </c>
      <c r="D136" s="5" t="s">
        <v>25</v>
      </c>
      <c r="E136" s="21">
        <v>0</v>
      </c>
      <c r="F136" s="21">
        <v>0</v>
      </c>
      <c r="G136" s="91" t="b">
        <f>G135</f>
        <v>1</v>
      </c>
      <c r="H136" s="91" t="b">
        <f>H135</f>
        <v>1</v>
      </c>
      <c r="I136" s="91" t="b">
        <f>I135</f>
        <v>1</v>
      </c>
      <c r="J136" s="105" t="b">
        <f>J135</f>
        <v>1</v>
      </c>
      <c r="K136" s="110"/>
    </row>
    <row r="137" spans="1:11" ht="15.75" thickBot="1" x14ac:dyDescent="0.3">
      <c r="A137" s="88" t="s">
        <v>298</v>
      </c>
      <c r="B137" s="35"/>
      <c r="C137" s="35"/>
      <c r="D137" s="35"/>
      <c r="E137" s="36"/>
      <c r="F137" s="36"/>
      <c r="G137" s="37"/>
      <c r="H137" s="37"/>
      <c r="I137" s="37"/>
      <c r="J137" s="108"/>
      <c r="K137" s="110"/>
    </row>
    <row r="138" spans="1:11" x14ac:dyDescent="0.25">
      <c r="A138" s="93" t="s">
        <v>206</v>
      </c>
      <c r="B138" s="94"/>
      <c r="C138" s="94"/>
      <c r="D138" s="92"/>
      <c r="E138" s="22"/>
      <c r="F138" s="22"/>
      <c r="G138" s="90" t="b">
        <f>SUM(E139,E261)&lt;=1.001</f>
        <v>1</v>
      </c>
      <c r="H138" s="90" t="b">
        <f>SUM(F139,F261)&gt;=0.999</f>
        <v>1</v>
      </c>
      <c r="I138" s="90" t="b">
        <f>IF(COUNTBLANK(E139:F139)=0, TRUE, FALSE)</f>
        <v>1</v>
      </c>
      <c r="J138" s="106" t="b">
        <f>AND(G138,H138,I138)</f>
        <v>1</v>
      </c>
      <c r="K138" s="110"/>
    </row>
    <row r="139" spans="1:11" ht="32.25" customHeight="1" x14ac:dyDescent="0.25">
      <c r="A139" s="48" t="s">
        <v>231</v>
      </c>
      <c r="B139" s="5" t="s">
        <v>176</v>
      </c>
      <c r="C139" s="5" t="s">
        <v>13</v>
      </c>
      <c r="D139" s="5" t="s">
        <v>14</v>
      </c>
      <c r="E139" s="21">
        <v>0</v>
      </c>
      <c r="F139" s="21">
        <v>0</v>
      </c>
      <c r="G139" s="91" t="b">
        <f t="shared" ref="G139" si="92">G138</f>
        <v>1</v>
      </c>
      <c r="H139" s="91" t="b">
        <f t="shared" ref="H139:J139" si="93">H138</f>
        <v>1</v>
      </c>
      <c r="I139" s="91" t="b">
        <f t="shared" ref="I139" si="94">I138</f>
        <v>1</v>
      </c>
      <c r="J139" s="105" t="b">
        <f t="shared" si="93"/>
        <v>1</v>
      </c>
      <c r="K139" s="110"/>
    </row>
    <row r="140" spans="1:11" x14ac:dyDescent="0.25">
      <c r="A140" s="93" t="s">
        <v>207</v>
      </c>
      <c r="B140" s="94"/>
      <c r="C140" s="94"/>
      <c r="D140" s="92"/>
      <c r="E140" s="22"/>
      <c r="F140" s="22"/>
      <c r="G140" s="90" t="b">
        <f>SUM(E141:E145)&lt;=1.001</f>
        <v>1</v>
      </c>
      <c r="H140" s="90" t="b">
        <f>SUM(F141:F145)&gt;=0.999</f>
        <v>1</v>
      </c>
      <c r="I140" s="90" t="b">
        <f>IF(COUNTBLANK(E141:F145)=0, TRUE, FALSE)</f>
        <v>1</v>
      </c>
      <c r="J140" s="106" t="b">
        <f>AND(G140,H140,I140)</f>
        <v>1</v>
      </c>
      <c r="K140" s="110"/>
    </row>
    <row r="141" spans="1:11" ht="30" x14ac:dyDescent="0.25">
      <c r="A141" s="48" t="s">
        <v>146</v>
      </c>
      <c r="B141" s="5" t="s">
        <v>176</v>
      </c>
      <c r="C141" s="5" t="s">
        <v>18</v>
      </c>
      <c r="D141" s="5" t="s">
        <v>14</v>
      </c>
      <c r="E141" s="21">
        <v>0</v>
      </c>
      <c r="F141" s="21">
        <v>0</v>
      </c>
      <c r="G141" s="91" t="b">
        <f t="shared" ref="G141" si="95">G140</f>
        <v>1</v>
      </c>
      <c r="H141" s="91" t="b">
        <f t="shared" ref="H141:J156" si="96">H140</f>
        <v>1</v>
      </c>
      <c r="I141" s="91" t="b">
        <f t="shared" ref="I141" si="97">I140</f>
        <v>1</v>
      </c>
      <c r="J141" s="105" t="b">
        <f t="shared" si="96"/>
        <v>1</v>
      </c>
      <c r="K141" s="110"/>
    </row>
    <row r="142" spans="1:11" x14ac:dyDescent="0.25">
      <c r="A142" s="48" t="s">
        <v>147</v>
      </c>
      <c r="B142" s="5" t="s">
        <v>176</v>
      </c>
      <c r="C142" s="5" t="s">
        <v>18</v>
      </c>
      <c r="D142" s="5" t="s">
        <v>13</v>
      </c>
      <c r="E142" s="21">
        <v>0.88500000000000001</v>
      </c>
      <c r="F142" s="21">
        <v>0.88500000000000001</v>
      </c>
      <c r="G142" s="91" t="b">
        <f t="shared" ref="G142:J145" si="98">G141</f>
        <v>1</v>
      </c>
      <c r="H142" s="91" t="b">
        <f t="shared" si="98"/>
        <v>1</v>
      </c>
      <c r="I142" s="91" t="b">
        <f t="shared" si="98"/>
        <v>1</v>
      </c>
      <c r="J142" s="105" t="b">
        <f t="shared" si="98"/>
        <v>1</v>
      </c>
      <c r="K142" s="110"/>
    </row>
    <row r="143" spans="1:11" x14ac:dyDescent="0.25">
      <c r="A143" s="48" t="s">
        <v>150</v>
      </c>
      <c r="B143" s="5" t="s">
        <v>176</v>
      </c>
      <c r="C143" s="5" t="s">
        <v>18</v>
      </c>
      <c r="D143" s="5" t="s">
        <v>21</v>
      </c>
      <c r="E143" s="21">
        <v>2.32323232323232E-3</v>
      </c>
      <c r="F143" s="21">
        <v>2.32323232323232E-3</v>
      </c>
      <c r="G143" s="91" t="b">
        <f t="shared" si="98"/>
        <v>1</v>
      </c>
      <c r="H143" s="91" t="b">
        <f t="shared" si="98"/>
        <v>1</v>
      </c>
      <c r="I143" s="91" t="b">
        <f t="shared" si="98"/>
        <v>1</v>
      </c>
      <c r="J143" s="105" t="b">
        <f t="shared" si="98"/>
        <v>1</v>
      </c>
      <c r="K143" s="110"/>
    </row>
    <row r="144" spans="1:11" x14ac:dyDescent="0.25">
      <c r="A144" s="48" t="s">
        <v>304</v>
      </c>
      <c r="B144" s="5" t="s">
        <v>176</v>
      </c>
      <c r="C144" s="5" t="s">
        <v>18</v>
      </c>
      <c r="D144" s="5" t="s">
        <v>22</v>
      </c>
      <c r="E144" s="21">
        <v>9.7575757575757593E-2</v>
      </c>
      <c r="F144" s="21">
        <v>9.7575757575757593E-2</v>
      </c>
      <c r="G144" s="91" t="b">
        <f t="shared" si="98"/>
        <v>1</v>
      </c>
      <c r="H144" s="91" t="b">
        <f t="shared" si="98"/>
        <v>1</v>
      </c>
      <c r="I144" s="91" t="b">
        <f t="shared" si="98"/>
        <v>1</v>
      </c>
      <c r="J144" s="105" t="b">
        <f t="shared" si="98"/>
        <v>1</v>
      </c>
      <c r="K144" s="110"/>
    </row>
    <row r="145" spans="1:11" x14ac:dyDescent="0.25">
      <c r="A145" s="48" t="s">
        <v>148</v>
      </c>
      <c r="B145" s="5" t="s">
        <v>176</v>
      </c>
      <c r="C145" s="5" t="s">
        <v>18</v>
      </c>
      <c r="D145" s="5" t="s">
        <v>18</v>
      </c>
      <c r="E145" s="21">
        <v>1.5101010101010099E-2</v>
      </c>
      <c r="F145" s="21">
        <v>1.5101010101010099E-2</v>
      </c>
      <c r="G145" s="91" t="b">
        <f t="shared" si="98"/>
        <v>1</v>
      </c>
      <c r="H145" s="91" t="b">
        <f t="shared" si="98"/>
        <v>1</v>
      </c>
      <c r="I145" s="91" t="b">
        <f t="shared" si="98"/>
        <v>1</v>
      </c>
      <c r="J145" s="105" t="b">
        <f>J144</f>
        <v>1</v>
      </c>
      <c r="K145" s="110"/>
    </row>
    <row r="146" spans="1:11" x14ac:dyDescent="0.25">
      <c r="A146" s="93" t="s">
        <v>208</v>
      </c>
      <c r="B146" s="94"/>
      <c r="C146" s="94"/>
      <c r="D146" s="92"/>
      <c r="E146" s="22"/>
      <c r="F146" s="22"/>
      <c r="G146" s="90" t="b">
        <f>SUM(E147:E150)&lt;=1.001</f>
        <v>1</v>
      </c>
      <c r="H146" s="90" t="b">
        <f>SUM(F147:F150)&gt;=0.999</f>
        <v>1</v>
      </c>
      <c r="I146" s="90" t="b">
        <f>IF(COUNTBLANK(E147:F150)=0, TRUE, FALSE)</f>
        <v>1</v>
      </c>
      <c r="J146" s="106" t="b">
        <f>AND(G146,H146,I146)</f>
        <v>1</v>
      </c>
      <c r="K146" s="110"/>
    </row>
    <row r="147" spans="1:11" ht="30" x14ac:dyDescent="0.25">
      <c r="A147" s="48" t="s">
        <v>307</v>
      </c>
      <c r="B147" s="5" t="s">
        <v>176</v>
      </c>
      <c r="C147" s="5" t="s">
        <v>21</v>
      </c>
      <c r="D147" s="5" t="s">
        <v>14</v>
      </c>
      <c r="E147" s="21">
        <v>9.7575757575757593E-2</v>
      </c>
      <c r="F147" s="21">
        <v>9.7575757575757593E-2</v>
      </c>
      <c r="G147" s="91" t="b">
        <f>G146</f>
        <v>1</v>
      </c>
      <c r="H147" s="91" t="b">
        <f t="shared" ref="G147:J150" si="99">H146</f>
        <v>1</v>
      </c>
      <c r="I147" s="91" t="b">
        <f t="shared" si="99"/>
        <v>1</v>
      </c>
      <c r="J147" s="105" t="b">
        <f t="shared" si="99"/>
        <v>1</v>
      </c>
      <c r="K147" s="110"/>
    </row>
    <row r="148" spans="1:11" x14ac:dyDescent="0.25">
      <c r="A148" s="48" t="s">
        <v>306</v>
      </c>
      <c r="B148" s="5" t="s">
        <v>176</v>
      </c>
      <c r="C148" s="5" t="s">
        <v>21</v>
      </c>
      <c r="D148" s="5" t="s">
        <v>8</v>
      </c>
      <c r="E148" s="21">
        <v>0</v>
      </c>
      <c r="F148" s="21">
        <v>0</v>
      </c>
      <c r="G148" s="91" t="b">
        <f t="shared" si="99"/>
        <v>1</v>
      </c>
      <c r="H148" s="91" t="b">
        <f>H147</f>
        <v>1</v>
      </c>
      <c r="I148" s="91" t="b">
        <f t="shared" si="99"/>
        <v>1</v>
      </c>
      <c r="J148" s="105" t="b">
        <f t="shared" si="99"/>
        <v>1</v>
      </c>
      <c r="K148" s="110"/>
    </row>
    <row r="149" spans="1:11" x14ac:dyDescent="0.25">
      <c r="A149" s="48" t="s">
        <v>152</v>
      </c>
      <c r="B149" s="5" t="s">
        <v>176</v>
      </c>
      <c r="C149" s="5" t="s">
        <v>21</v>
      </c>
      <c r="D149" s="5" t="s">
        <v>25</v>
      </c>
      <c r="E149" s="21">
        <v>0.88500000000000001</v>
      </c>
      <c r="F149" s="21">
        <v>0.88500000000000001</v>
      </c>
      <c r="G149" s="91" t="b">
        <f t="shared" si="99"/>
        <v>1</v>
      </c>
      <c r="H149" s="91" t="b">
        <f>H148</f>
        <v>1</v>
      </c>
      <c r="I149" s="91" t="b">
        <f t="shared" si="99"/>
        <v>1</v>
      </c>
      <c r="J149" s="105" t="b">
        <f t="shared" si="99"/>
        <v>1</v>
      </c>
      <c r="K149" s="110"/>
    </row>
    <row r="150" spans="1:11" x14ac:dyDescent="0.25">
      <c r="A150" s="48" t="s">
        <v>151</v>
      </c>
      <c r="B150" s="5" t="s">
        <v>176</v>
      </c>
      <c r="C150" s="5" t="s">
        <v>21</v>
      </c>
      <c r="D150" s="5" t="s">
        <v>21</v>
      </c>
      <c r="E150" s="21">
        <v>1.7424242424242301E-2</v>
      </c>
      <c r="F150" s="21">
        <v>1.7424242424242301E-2</v>
      </c>
      <c r="G150" s="91" t="b">
        <f t="shared" si="99"/>
        <v>1</v>
      </c>
      <c r="H150" s="91" t="b">
        <f>H149</f>
        <v>1</v>
      </c>
      <c r="I150" s="91" t="b">
        <f t="shared" si="99"/>
        <v>1</v>
      </c>
      <c r="J150" s="105" t="b">
        <f t="shared" si="99"/>
        <v>1</v>
      </c>
      <c r="K150" s="110"/>
    </row>
    <row r="151" spans="1:11" x14ac:dyDescent="0.25">
      <c r="A151" s="93" t="s">
        <v>209</v>
      </c>
      <c r="B151" s="94"/>
      <c r="C151" s="94"/>
      <c r="D151" s="92"/>
      <c r="E151" s="22"/>
      <c r="F151" s="22"/>
      <c r="G151" s="90" t="b">
        <f>SUM(E152:E156)&lt;=1.001</f>
        <v>1</v>
      </c>
      <c r="H151" s="90" t="b">
        <f>SUM(F152:F156)&gt;=0.999</f>
        <v>1</v>
      </c>
      <c r="I151" s="90" t="b">
        <f>IF(COUNTBLANK(E152:F156)=0, TRUE, FALSE)</f>
        <v>1</v>
      </c>
      <c r="J151" s="106" t="b">
        <f>AND(G151,H151,I151)</f>
        <v>1</v>
      </c>
      <c r="K151" s="110"/>
    </row>
    <row r="152" spans="1:11" ht="30" x14ac:dyDescent="0.25">
      <c r="A152" s="48" t="s">
        <v>168</v>
      </c>
      <c r="B152" s="5" t="s">
        <v>176</v>
      </c>
      <c r="C152" s="5" t="s">
        <v>38</v>
      </c>
      <c r="D152" s="5" t="s">
        <v>14</v>
      </c>
      <c r="E152" s="21">
        <v>0</v>
      </c>
      <c r="F152" s="21">
        <v>0</v>
      </c>
      <c r="G152" s="91" t="b">
        <f t="shared" ref="G152:G156" si="100">G151</f>
        <v>1</v>
      </c>
      <c r="H152" s="91" t="b">
        <f t="shared" si="96"/>
        <v>1</v>
      </c>
      <c r="I152" s="91" t="b">
        <f t="shared" ref="I152" si="101">I151</f>
        <v>1</v>
      </c>
      <c r="J152" s="105" t="b">
        <f t="shared" si="96"/>
        <v>1</v>
      </c>
      <c r="K152" s="110"/>
    </row>
    <row r="153" spans="1:11" x14ac:dyDescent="0.25">
      <c r="A153" s="48" t="s">
        <v>147</v>
      </c>
      <c r="B153" s="5" t="s">
        <v>176</v>
      </c>
      <c r="C153" s="5" t="s">
        <v>38</v>
      </c>
      <c r="D153" s="5" t="s">
        <v>13</v>
      </c>
      <c r="E153" s="21">
        <v>0.88500000000000001</v>
      </c>
      <c r="F153" s="21">
        <v>0.88500000000000001</v>
      </c>
      <c r="G153" s="91" t="b">
        <f t="shared" si="100"/>
        <v>1</v>
      </c>
      <c r="H153" s="91" t="b">
        <f t="shared" si="96"/>
        <v>1</v>
      </c>
      <c r="I153" s="91" t="b">
        <f t="shared" ref="I153" si="102">I152</f>
        <v>1</v>
      </c>
      <c r="J153" s="105" t="b">
        <f t="shared" si="96"/>
        <v>1</v>
      </c>
      <c r="K153" s="110"/>
    </row>
    <row r="154" spans="1:11" x14ac:dyDescent="0.25">
      <c r="A154" s="48" t="s">
        <v>149</v>
      </c>
      <c r="B154" s="5" t="s">
        <v>176</v>
      </c>
      <c r="C154" s="5" t="s">
        <v>38</v>
      </c>
      <c r="D154" s="5" t="s">
        <v>21</v>
      </c>
      <c r="E154" s="21">
        <v>2.32323232323232E-3</v>
      </c>
      <c r="F154" s="21">
        <v>2.32323232323232E-3</v>
      </c>
      <c r="G154" s="91" t="b">
        <f t="shared" si="100"/>
        <v>1</v>
      </c>
      <c r="H154" s="91" t="b">
        <f t="shared" si="96"/>
        <v>1</v>
      </c>
      <c r="I154" s="91" t="b">
        <f t="shared" ref="I154" si="103">I153</f>
        <v>1</v>
      </c>
      <c r="J154" s="105" t="b">
        <f t="shared" si="96"/>
        <v>1</v>
      </c>
      <c r="K154" s="110"/>
    </row>
    <row r="155" spans="1:11" x14ac:dyDescent="0.25">
      <c r="A155" s="48" t="s">
        <v>153</v>
      </c>
      <c r="B155" s="5" t="s">
        <v>176</v>
      </c>
      <c r="C155" s="5" t="s">
        <v>38</v>
      </c>
      <c r="D155" s="5" t="s">
        <v>22</v>
      </c>
      <c r="E155" s="21">
        <v>9.7575757575757593E-2</v>
      </c>
      <c r="F155" s="21">
        <v>9.7575757575757593E-2</v>
      </c>
      <c r="G155" s="91" t="b">
        <f t="shared" si="100"/>
        <v>1</v>
      </c>
      <c r="H155" s="91" t="b">
        <f t="shared" si="96"/>
        <v>1</v>
      </c>
      <c r="I155" s="91" t="b">
        <f t="shared" ref="I155" si="104">I154</f>
        <v>1</v>
      </c>
      <c r="J155" s="105" t="b">
        <f t="shared" si="96"/>
        <v>1</v>
      </c>
      <c r="K155" s="110"/>
    </row>
    <row r="156" spans="1:11" x14ac:dyDescent="0.25">
      <c r="A156" s="48" t="s">
        <v>154</v>
      </c>
      <c r="B156" s="5" t="s">
        <v>176</v>
      </c>
      <c r="C156" s="5" t="s">
        <v>38</v>
      </c>
      <c r="D156" s="5" t="s">
        <v>38</v>
      </c>
      <c r="E156" s="21">
        <v>1.5101010101010099E-2</v>
      </c>
      <c r="F156" s="21">
        <v>1.5101010101010099E-2</v>
      </c>
      <c r="G156" s="91" t="b">
        <f t="shared" si="100"/>
        <v>1</v>
      </c>
      <c r="H156" s="91" t="b">
        <f t="shared" si="96"/>
        <v>1</v>
      </c>
      <c r="I156" s="91" t="b">
        <f t="shared" ref="I156" si="105">I155</f>
        <v>1</v>
      </c>
      <c r="J156" s="105" t="b">
        <f t="shared" si="96"/>
        <v>1</v>
      </c>
      <c r="K156" s="110"/>
    </row>
    <row r="157" spans="1:11" x14ac:dyDescent="0.25">
      <c r="A157" s="93" t="s">
        <v>210</v>
      </c>
      <c r="B157" s="94"/>
      <c r="C157" s="94"/>
      <c r="D157" s="92"/>
      <c r="E157" s="22"/>
      <c r="F157" s="22"/>
      <c r="G157" s="90" t="b">
        <f>SUM(E158,E260)&lt;=1.001</f>
        <v>1</v>
      </c>
      <c r="H157" s="90" t="b">
        <f>SUM(F158,F260)&gt;=0.999</f>
        <v>1</v>
      </c>
      <c r="I157" s="90" t="b">
        <f>IF(COUNTBLANK(E158:F158)=0, TRUE, FALSE)</f>
        <v>1</v>
      </c>
      <c r="J157" s="106" t="b">
        <f>AND(G157,H157,I157)</f>
        <v>1</v>
      </c>
      <c r="K157" s="110"/>
    </row>
    <row r="158" spans="1:11" ht="33" customHeight="1" x14ac:dyDescent="0.25">
      <c r="A158" s="48" t="s">
        <v>169</v>
      </c>
      <c r="B158" s="5" t="s">
        <v>176</v>
      </c>
      <c r="C158" s="5" t="s">
        <v>14</v>
      </c>
      <c r="D158" s="5" t="s">
        <v>64</v>
      </c>
      <c r="E158" s="21">
        <v>1.38E-2</v>
      </c>
      <c r="F158" s="21">
        <v>1.38E-2</v>
      </c>
      <c r="G158" s="91" t="b">
        <f>G157</f>
        <v>1</v>
      </c>
      <c r="H158" s="91" t="b">
        <f t="shared" ref="H158:J162" si="106">H157</f>
        <v>1</v>
      </c>
      <c r="I158" s="91" t="b">
        <f t="shared" si="106"/>
        <v>1</v>
      </c>
      <c r="J158" s="105" t="b">
        <f>J157</f>
        <v>1</v>
      </c>
      <c r="K158" s="110"/>
    </row>
    <row r="159" spans="1:11" x14ac:dyDescent="0.25">
      <c r="A159" s="93" t="s">
        <v>211</v>
      </c>
      <c r="B159" s="94"/>
      <c r="C159" s="94"/>
      <c r="D159" s="92"/>
      <c r="E159" s="24"/>
      <c r="F159" s="24"/>
      <c r="G159" s="90" t="b">
        <f>SUM(E160,E245)&lt;=1.001</f>
        <v>1</v>
      </c>
      <c r="H159" s="90" t="b">
        <f>SUM(F160,F245)&gt;=0.999</f>
        <v>1</v>
      </c>
      <c r="I159" s="90" t="b">
        <f>IF(COUNTBLANK(E160:F160)=0, TRUE, FALSE)</f>
        <v>1</v>
      </c>
      <c r="J159" s="106" t="b">
        <f>AND(G159,H159,I159)</f>
        <v>1</v>
      </c>
      <c r="K159" s="110"/>
    </row>
    <row r="160" spans="1:11" ht="30" x14ac:dyDescent="0.25">
      <c r="A160" s="48" t="s">
        <v>133</v>
      </c>
      <c r="B160" s="5" t="s">
        <v>175</v>
      </c>
      <c r="C160" s="5" t="s">
        <v>60</v>
      </c>
      <c r="D160" s="5" t="s">
        <v>62</v>
      </c>
      <c r="E160" s="21">
        <v>7.2000000000000002E-5</v>
      </c>
      <c r="F160" s="21">
        <v>7.2000000000000002E-5</v>
      </c>
      <c r="G160" s="91" t="b">
        <f>G159</f>
        <v>1</v>
      </c>
      <c r="H160" s="91" t="b">
        <f t="shared" si="106"/>
        <v>1</v>
      </c>
      <c r="I160" s="91" t="b">
        <f t="shared" si="106"/>
        <v>1</v>
      </c>
      <c r="J160" s="105" t="b">
        <f t="shared" si="106"/>
        <v>1</v>
      </c>
      <c r="K160" s="110"/>
    </row>
    <row r="161" spans="1:11" x14ac:dyDescent="0.25">
      <c r="A161" s="93" t="s">
        <v>212</v>
      </c>
      <c r="B161" s="94"/>
      <c r="C161" s="94"/>
      <c r="D161" s="92"/>
      <c r="E161" s="22"/>
      <c r="F161" s="22"/>
      <c r="G161" s="90" t="b">
        <f>SUM(E162:E164)&lt;=1.001</f>
        <v>1</v>
      </c>
      <c r="H161" s="90" t="b">
        <f>SUM(F162:F164)&gt;=0.999</f>
        <v>1</v>
      </c>
      <c r="I161" s="90" t="b">
        <f>IF(COUNTBLANK(E162:F164)=0, TRUE, FALSE)</f>
        <v>1</v>
      </c>
      <c r="J161" s="106" t="b">
        <f>AND(G161,H161,I161)</f>
        <v>1</v>
      </c>
      <c r="K161" s="110"/>
    </row>
    <row r="162" spans="1:11" ht="30" x14ac:dyDescent="0.25">
      <c r="A162" s="48" t="s">
        <v>134</v>
      </c>
      <c r="B162" s="5" t="s">
        <v>175</v>
      </c>
      <c r="C162" s="5" t="s">
        <v>63</v>
      </c>
      <c r="D162" s="5" t="s">
        <v>62</v>
      </c>
      <c r="E162" s="21">
        <v>1.44E-2</v>
      </c>
      <c r="F162" s="21">
        <v>1.44E-2</v>
      </c>
      <c r="G162" s="91">
        <v>1.44E-2</v>
      </c>
      <c r="H162" s="91" t="b">
        <f t="shared" si="106"/>
        <v>1</v>
      </c>
      <c r="I162" s="91" t="b">
        <f t="shared" si="106"/>
        <v>1</v>
      </c>
      <c r="J162" s="105" t="b">
        <f t="shared" si="106"/>
        <v>1</v>
      </c>
      <c r="K162" s="110"/>
    </row>
    <row r="163" spans="1:11" x14ac:dyDescent="0.25">
      <c r="A163" s="48" t="s">
        <v>138</v>
      </c>
      <c r="B163" s="5" t="s">
        <v>175</v>
      </c>
      <c r="C163" s="5" t="s">
        <v>63</v>
      </c>
      <c r="D163" s="5" t="s">
        <v>60</v>
      </c>
      <c r="E163" s="21">
        <v>0.3196</v>
      </c>
      <c r="F163" s="21">
        <v>0.3196</v>
      </c>
      <c r="G163" s="91">
        <v>0.3196</v>
      </c>
      <c r="H163" s="91" t="b">
        <f t="shared" ref="H163:J164" si="107">H162</f>
        <v>1</v>
      </c>
      <c r="I163" s="91" t="b">
        <f t="shared" si="107"/>
        <v>1</v>
      </c>
      <c r="J163" s="105" t="b">
        <f t="shared" si="107"/>
        <v>1</v>
      </c>
      <c r="K163" s="110"/>
    </row>
    <row r="164" spans="1:11" ht="15.75" thickBot="1" x14ac:dyDescent="0.3">
      <c r="A164" s="48" t="s">
        <v>139</v>
      </c>
      <c r="B164" s="5" t="s">
        <v>175</v>
      </c>
      <c r="C164" s="5" t="s">
        <v>63</v>
      </c>
      <c r="D164" s="5" t="s">
        <v>51</v>
      </c>
      <c r="E164" s="23">
        <v>0.66600000000000004</v>
      </c>
      <c r="F164" s="23">
        <v>0.66600000000000004</v>
      </c>
      <c r="G164" s="91">
        <v>0.66600000000000004</v>
      </c>
      <c r="H164" s="91" t="b">
        <f t="shared" si="107"/>
        <v>1</v>
      </c>
      <c r="I164" s="91" t="b">
        <f t="shared" si="107"/>
        <v>1</v>
      </c>
      <c r="J164" s="105" t="b">
        <f t="shared" si="107"/>
        <v>1</v>
      </c>
      <c r="K164" s="110"/>
    </row>
    <row r="165" spans="1:11" ht="15.75" thickBot="1" x14ac:dyDescent="0.3">
      <c r="A165" s="88" t="s">
        <v>294</v>
      </c>
      <c r="B165" s="35"/>
      <c r="C165" s="35"/>
      <c r="D165" s="35"/>
      <c r="E165" s="36"/>
      <c r="F165" s="36"/>
      <c r="G165" s="37"/>
      <c r="H165" s="37"/>
      <c r="I165" s="37"/>
      <c r="J165" s="108"/>
      <c r="K165" s="110"/>
    </row>
    <row r="166" spans="1:11" x14ac:dyDescent="0.25">
      <c r="A166" s="93" t="s">
        <v>213</v>
      </c>
      <c r="B166" s="94"/>
      <c r="C166" s="94"/>
      <c r="D166" s="92"/>
      <c r="E166" s="22"/>
      <c r="F166" s="22"/>
      <c r="G166" s="90" t="b">
        <f>SUM(E167:E171)&lt;=1.001</f>
        <v>1</v>
      </c>
      <c r="H166" s="90" t="b">
        <f>SUM(F167:F171)&gt;=0.999</f>
        <v>1</v>
      </c>
      <c r="I166" s="90" t="b">
        <f>IF(COUNTBLANK(E167:F171)=0, TRUE, FALSE)</f>
        <v>1</v>
      </c>
      <c r="J166" s="106" t="b">
        <f>AND(G166,H166,I166)</f>
        <v>1</v>
      </c>
      <c r="K166" s="110"/>
    </row>
    <row r="167" spans="1:11" ht="45" x14ac:dyDescent="0.25">
      <c r="A167" s="48" t="s">
        <v>295</v>
      </c>
      <c r="B167" s="5" t="s">
        <v>176</v>
      </c>
      <c r="C167" s="5" t="s">
        <v>17</v>
      </c>
      <c r="D167" s="5" t="s">
        <v>18</v>
      </c>
      <c r="E167" s="21">
        <v>4.2000000000000003E-2</v>
      </c>
      <c r="F167" s="21">
        <v>4.2000000000000003E-2</v>
      </c>
      <c r="G167" s="91" t="b">
        <f>G166</f>
        <v>1</v>
      </c>
      <c r="H167" s="91" t="b">
        <f t="shared" ref="H167:J167" si="108">H166</f>
        <v>1</v>
      </c>
      <c r="I167" s="91" t="b">
        <f t="shared" si="108"/>
        <v>1</v>
      </c>
      <c r="J167" s="105" t="b">
        <f t="shared" si="108"/>
        <v>1</v>
      </c>
      <c r="K167" s="110"/>
    </row>
    <row r="168" spans="1:11" x14ac:dyDescent="0.25">
      <c r="A168" s="48" t="s">
        <v>159</v>
      </c>
      <c r="B168" s="5" t="s">
        <v>176</v>
      </c>
      <c r="C168" s="5" t="s">
        <v>17</v>
      </c>
      <c r="D168" s="5" t="s">
        <v>17</v>
      </c>
      <c r="E168" s="21">
        <v>7.5499999999999998E-2</v>
      </c>
      <c r="F168" s="21">
        <v>7.5499999999999998E-2</v>
      </c>
      <c r="G168" s="91" t="b">
        <f t="shared" ref="G168:J171" si="109">G167</f>
        <v>1</v>
      </c>
      <c r="H168" s="91" t="b">
        <f t="shared" si="109"/>
        <v>1</v>
      </c>
      <c r="I168" s="91" t="b">
        <f t="shared" si="109"/>
        <v>1</v>
      </c>
      <c r="J168" s="105" t="b">
        <f t="shared" si="109"/>
        <v>1</v>
      </c>
      <c r="K168" s="110"/>
    </row>
    <row r="169" spans="1:11" x14ac:dyDescent="0.25">
      <c r="A169" s="48" t="s">
        <v>160</v>
      </c>
      <c r="B169" s="5" t="s">
        <v>176</v>
      </c>
      <c r="C169" s="5" t="s">
        <v>17</v>
      </c>
      <c r="D169" s="5" t="s">
        <v>19</v>
      </c>
      <c r="E169" s="21">
        <v>1.1599999999999999E-2</v>
      </c>
      <c r="F169" s="21">
        <v>1.1599999999999999E-2</v>
      </c>
      <c r="G169" s="91" t="b">
        <f t="shared" si="109"/>
        <v>1</v>
      </c>
      <c r="H169" s="91" t="b">
        <f t="shared" si="109"/>
        <v>1</v>
      </c>
      <c r="I169" s="91" t="b">
        <f t="shared" si="109"/>
        <v>1</v>
      </c>
      <c r="J169" s="105" t="b">
        <f t="shared" si="109"/>
        <v>1</v>
      </c>
      <c r="K169" s="110"/>
    </row>
    <row r="170" spans="1:11" x14ac:dyDescent="0.25">
      <c r="A170" s="48" t="s">
        <v>161</v>
      </c>
      <c r="B170" s="5" t="s">
        <v>176</v>
      </c>
      <c r="C170" s="5" t="s">
        <v>17</v>
      </c>
      <c r="D170" s="5" t="s">
        <v>20</v>
      </c>
      <c r="E170" s="21">
        <v>0.48799999999999999</v>
      </c>
      <c r="F170" s="21">
        <v>0.48799999999999999</v>
      </c>
      <c r="G170" s="91" t="b">
        <f t="shared" si="109"/>
        <v>1</v>
      </c>
      <c r="H170" s="91" t="b">
        <f t="shared" si="109"/>
        <v>1</v>
      </c>
      <c r="I170" s="91" t="b">
        <f t="shared" si="109"/>
        <v>1</v>
      </c>
      <c r="J170" s="105" t="b">
        <f t="shared" si="109"/>
        <v>1</v>
      </c>
      <c r="K170" s="110"/>
    </row>
    <row r="171" spans="1:11" x14ac:dyDescent="0.25">
      <c r="A171" s="48" t="s">
        <v>156</v>
      </c>
      <c r="B171" s="5" t="s">
        <v>176</v>
      </c>
      <c r="C171" s="5" t="s">
        <v>17</v>
      </c>
      <c r="D171" s="5" t="s">
        <v>12</v>
      </c>
      <c r="E171" s="21">
        <v>0.38300000000000001</v>
      </c>
      <c r="F171" s="21">
        <v>0.38300000000000001</v>
      </c>
      <c r="G171" s="91" t="b">
        <f t="shared" si="109"/>
        <v>1</v>
      </c>
      <c r="H171" s="91" t="b">
        <f t="shared" si="109"/>
        <v>1</v>
      </c>
      <c r="I171" s="91" t="b">
        <f t="shared" si="109"/>
        <v>1</v>
      </c>
      <c r="J171" s="105" t="b">
        <f t="shared" si="109"/>
        <v>1</v>
      </c>
      <c r="K171" s="110"/>
    </row>
    <row r="172" spans="1:11" x14ac:dyDescent="0.25">
      <c r="A172" s="93" t="s">
        <v>214</v>
      </c>
      <c r="B172" s="94"/>
      <c r="C172" s="94"/>
      <c r="D172" s="92"/>
      <c r="E172" s="22"/>
      <c r="F172" s="22"/>
      <c r="G172" s="90" t="b">
        <f>SUM(E173:E176)&lt;=1.001</f>
        <v>1</v>
      </c>
      <c r="H172" s="90" t="b">
        <f>SUM(F173:F176)&gt;=0.999</f>
        <v>1</v>
      </c>
      <c r="I172" s="90" t="b">
        <f>IF(COUNTBLANK(E173:F176)=0, TRUE, FALSE)</f>
        <v>1</v>
      </c>
      <c r="J172" s="106" t="b">
        <f>AND(G172,H172,I172)</f>
        <v>1</v>
      </c>
      <c r="K172" s="110"/>
    </row>
    <row r="173" spans="1:11" ht="45" x14ac:dyDescent="0.25">
      <c r="A173" s="48" t="s">
        <v>296</v>
      </c>
      <c r="B173" s="5" t="s">
        <v>176</v>
      </c>
      <c r="C173" s="5" t="s">
        <v>19</v>
      </c>
      <c r="D173" s="5" t="s">
        <v>21</v>
      </c>
      <c r="E173" s="21">
        <v>4.2000000000000003E-2</v>
      </c>
      <c r="F173" s="21">
        <v>4.2000000000000003E-2</v>
      </c>
      <c r="G173" s="91" t="b">
        <f>G172</f>
        <v>1</v>
      </c>
      <c r="H173" s="91" t="b">
        <f t="shared" ref="H173:J173" si="110">H172</f>
        <v>1</v>
      </c>
      <c r="I173" s="91" t="b">
        <f t="shared" si="110"/>
        <v>1</v>
      </c>
      <c r="J173" s="105" t="b">
        <f t="shared" si="110"/>
        <v>1</v>
      </c>
      <c r="K173" s="110"/>
    </row>
    <row r="174" spans="1:11" x14ac:dyDescent="0.25">
      <c r="A174" s="48" t="s">
        <v>162</v>
      </c>
      <c r="B174" s="5" t="s">
        <v>176</v>
      </c>
      <c r="C174" s="5" t="s">
        <v>19</v>
      </c>
      <c r="D174" s="5" t="s">
        <v>19</v>
      </c>
      <c r="E174" s="23">
        <v>8.7090909090909094E-2</v>
      </c>
      <c r="F174" s="23">
        <v>8.7090909090909094E-2</v>
      </c>
      <c r="G174" s="91" t="b">
        <f t="shared" ref="G174:J174" si="111">G173</f>
        <v>1</v>
      </c>
      <c r="H174" s="91" t="b">
        <f t="shared" si="111"/>
        <v>1</v>
      </c>
      <c r="I174" s="91" t="b">
        <f t="shared" si="111"/>
        <v>1</v>
      </c>
      <c r="J174" s="105" t="b">
        <f t="shared" si="111"/>
        <v>1</v>
      </c>
      <c r="K174" s="110"/>
    </row>
    <row r="175" spans="1:11" x14ac:dyDescent="0.25">
      <c r="A175" s="48" t="s">
        <v>163</v>
      </c>
      <c r="B175" s="5" t="s">
        <v>176</v>
      </c>
      <c r="C175" s="5" t="s">
        <v>19</v>
      </c>
      <c r="D175" s="5" t="s">
        <v>7</v>
      </c>
      <c r="E175" s="21">
        <v>0.48770909090909098</v>
      </c>
      <c r="F175" s="21">
        <v>0.48770909090909098</v>
      </c>
      <c r="G175" s="91" t="b">
        <f t="shared" ref="G175:J176" si="112">G174</f>
        <v>1</v>
      </c>
      <c r="H175" s="91" t="b">
        <f t="shared" si="112"/>
        <v>1</v>
      </c>
      <c r="I175" s="91" t="b">
        <f t="shared" si="112"/>
        <v>1</v>
      </c>
      <c r="J175" s="105" t="b">
        <f t="shared" si="112"/>
        <v>1</v>
      </c>
      <c r="K175" s="110"/>
    </row>
    <row r="176" spans="1:11" x14ac:dyDescent="0.25">
      <c r="A176" s="48" t="s">
        <v>164</v>
      </c>
      <c r="B176" s="5" t="s">
        <v>176</v>
      </c>
      <c r="C176" s="5" t="s">
        <v>19</v>
      </c>
      <c r="D176" s="5" t="s">
        <v>24</v>
      </c>
      <c r="E176" s="21">
        <v>0.38319999999999999</v>
      </c>
      <c r="F176" s="21">
        <v>0.38319999999999999</v>
      </c>
      <c r="G176" s="91" t="b">
        <f t="shared" si="112"/>
        <v>1</v>
      </c>
      <c r="H176" s="91" t="b">
        <f t="shared" si="112"/>
        <v>1</v>
      </c>
      <c r="I176" s="91" t="b">
        <f t="shared" si="112"/>
        <v>1</v>
      </c>
      <c r="J176" s="105" t="b">
        <f t="shared" si="112"/>
        <v>1</v>
      </c>
      <c r="K176" s="110"/>
    </row>
    <row r="177" spans="1:11" x14ac:dyDescent="0.25">
      <c r="A177" s="93" t="s">
        <v>215</v>
      </c>
      <c r="B177" s="94"/>
      <c r="C177" s="94"/>
      <c r="D177" s="92"/>
      <c r="E177" s="22"/>
      <c r="F177" s="22"/>
      <c r="G177" s="90" t="b">
        <f>SUM(E178:E181)&lt;=1.001</f>
        <v>1</v>
      </c>
      <c r="H177" s="90" t="b">
        <f>SUM(F178:F181)&gt;=0.999</f>
        <v>1</v>
      </c>
      <c r="I177" s="90" t="b">
        <f>IF(COUNTBLANK(E178:F181)=0, TRUE, FALSE)</f>
        <v>1</v>
      </c>
      <c r="J177" s="106" t="b">
        <f>AND(G177,H177,I177)</f>
        <v>1</v>
      </c>
      <c r="K177" s="110"/>
    </row>
    <row r="178" spans="1:11" ht="30" x14ac:dyDescent="0.25">
      <c r="A178" s="48" t="s">
        <v>316</v>
      </c>
      <c r="B178" s="5" t="s">
        <v>176</v>
      </c>
      <c r="C178" s="5" t="s">
        <v>29</v>
      </c>
      <c r="D178" s="5" t="s">
        <v>29</v>
      </c>
      <c r="E178" s="21">
        <v>0.999</v>
      </c>
      <c r="F178" s="21">
        <v>0.999</v>
      </c>
      <c r="G178" s="91" t="b">
        <f>G177</f>
        <v>1</v>
      </c>
      <c r="H178" s="91" t="b">
        <f t="shared" ref="H178:J178" si="113">H177</f>
        <v>1</v>
      </c>
      <c r="I178" s="91" t="b">
        <f t="shared" si="113"/>
        <v>1</v>
      </c>
      <c r="J178" s="105" t="b">
        <f t="shared" si="113"/>
        <v>1</v>
      </c>
      <c r="K178" s="110"/>
    </row>
    <row r="179" spans="1:11" x14ac:dyDescent="0.25">
      <c r="A179" s="48" t="s">
        <v>165</v>
      </c>
      <c r="B179" s="5" t="s">
        <v>176</v>
      </c>
      <c r="C179" s="5" t="s">
        <v>29</v>
      </c>
      <c r="D179" s="5" t="s">
        <v>23</v>
      </c>
      <c r="E179" s="21">
        <v>8.1999999999999998E-4</v>
      </c>
      <c r="F179" s="21">
        <v>8.1999999999999998E-4</v>
      </c>
      <c r="G179" s="91" t="b">
        <f t="shared" ref="G179:J179" si="114">G178</f>
        <v>1</v>
      </c>
      <c r="H179" s="91" t="b">
        <f t="shared" si="114"/>
        <v>1</v>
      </c>
      <c r="I179" s="91" t="b">
        <f t="shared" si="114"/>
        <v>1</v>
      </c>
      <c r="J179" s="105" t="b">
        <f t="shared" si="114"/>
        <v>1</v>
      </c>
      <c r="K179" s="110"/>
    </row>
    <row r="180" spans="1:11" x14ac:dyDescent="0.25">
      <c r="A180" s="48" t="s">
        <v>166</v>
      </c>
      <c r="B180" s="5" t="s">
        <v>176</v>
      </c>
      <c r="C180" s="5" t="s">
        <v>29</v>
      </c>
      <c r="D180" s="5" t="s">
        <v>26</v>
      </c>
      <c r="E180" s="21">
        <v>1E-4</v>
      </c>
      <c r="F180" s="21">
        <v>1E-4</v>
      </c>
      <c r="G180" s="91" t="b">
        <f t="shared" ref="G180:J180" si="115">G179</f>
        <v>1</v>
      </c>
      <c r="H180" s="91" t="b">
        <f t="shared" si="115"/>
        <v>1</v>
      </c>
      <c r="I180" s="91" t="b">
        <f t="shared" si="115"/>
        <v>1</v>
      </c>
      <c r="J180" s="105" t="b">
        <f t="shared" si="115"/>
        <v>1</v>
      </c>
      <c r="K180" s="110"/>
    </row>
    <row r="181" spans="1:11" x14ac:dyDescent="0.25">
      <c r="A181" s="48" t="s">
        <v>167</v>
      </c>
      <c r="B181" s="5" t="s">
        <v>176</v>
      </c>
      <c r="C181" s="5" t="s">
        <v>29</v>
      </c>
      <c r="D181" s="5" t="s">
        <v>32</v>
      </c>
      <c r="E181" s="21">
        <v>8.0000000000000007E-5</v>
      </c>
      <c r="F181" s="21">
        <v>8.0000000000000007E-5</v>
      </c>
      <c r="G181" s="91" t="b">
        <f t="shared" ref="G181:J181" si="116">G180</f>
        <v>1</v>
      </c>
      <c r="H181" s="91" t="b">
        <f t="shared" si="116"/>
        <v>1</v>
      </c>
      <c r="I181" s="91" t="b">
        <f t="shared" si="116"/>
        <v>1</v>
      </c>
      <c r="J181" s="105" t="b">
        <f t="shared" si="116"/>
        <v>1</v>
      </c>
      <c r="K181" s="110"/>
    </row>
    <row r="182" spans="1:11" x14ac:dyDescent="0.25">
      <c r="A182" s="93" t="s">
        <v>216</v>
      </c>
      <c r="B182" s="94"/>
      <c r="C182" s="94"/>
      <c r="D182" s="92"/>
      <c r="E182" s="22"/>
      <c r="F182" s="22"/>
      <c r="G182" s="90" t="b">
        <f>SUM(E183:E187)&lt;=1.001</f>
        <v>1</v>
      </c>
      <c r="H182" s="90" t="b">
        <f>SUM(F183:F187)&gt;=0.999</f>
        <v>1</v>
      </c>
      <c r="I182" s="90" t="b">
        <f>IF(COUNTBLANK(E183:F187)=0, TRUE, FALSE)</f>
        <v>1</v>
      </c>
      <c r="J182" s="106" t="b">
        <f>AND(G182,H182,I182)</f>
        <v>1</v>
      </c>
      <c r="K182" s="110"/>
    </row>
    <row r="183" spans="1:11" ht="45" x14ac:dyDescent="0.25">
      <c r="A183" s="48" t="s">
        <v>297</v>
      </c>
      <c r="B183" s="5" t="s">
        <v>176</v>
      </c>
      <c r="C183" s="5" t="s">
        <v>37</v>
      </c>
      <c r="D183" s="5" t="s">
        <v>38</v>
      </c>
      <c r="E183" s="21">
        <v>4.2000000000000003E-2</v>
      </c>
      <c r="F183" s="21">
        <v>4.2000000000000003E-2</v>
      </c>
      <c r="G183" s="91" t="b">
        <f t="shared" ref="G183:I187" si="117">G182</f>
        <v>1</v>
      </c>
      <c r="H183" s="91" t="b">
        <f t="shared" si="117"/>
        <v>1</v>
      </c>
      <c r="I183" s="91" t="b">
        <f t="shared" si="117"/>
        <v>1</v>
      </c>
      <c r="J183" s="105" t="b">
        <f>J182</f>
        <v>1</v>
      </c>
      <c r="K183" s="110"/>
    </row>
    <row r="184" spans="1:11" x14ac:dyDescent="0.25">
      <c r="A184" s="48" t="s">
        <v>155</v>
      </c>
      <c r="B184" s="5" t="s">
        <v>176</v>
      </c>
      <c r="C184" s="5" t="s">
        <v>37</v>
      </c>
      <c r="D184" s="5" t="s">
        <v>37</v>
      </c>
      <c r="E184" s="21">
        <v>7.5478787878787895E-2</v>
      </c>
      <c r="F184" s="21">
        <v>7.5478787878787895E-2</v>
      </c>
      <c r="G184" s="91" t="b">
        <f t="shared" si="117"/>
        <v>1</v>
      </c>
      <c r="H184" s="91" t="b">
        <f t="shared" si="117"/>
        <v>1</v>
      </c>
      <c r="I184" s="91" t="b">
        <f t="shared" si="117"/>
        <v>1</v>
      </c>
      <c r="J184" s="105" t="b">
        <f>J183</f>
        <v>1</v>
      </c>
      <c r="K184" s="110"/>
    </row>
    <row r="185" spans="1:11" x14ac:dyDescent="0.25">
      <c r="A185" s="48" t="s">
        <v>156</v>
      </c>
      <c r="B185" s="5" t="s">
        <v>176</v>
      </c>
      <c r="C185" s="5" t="s">
        <v>37</v>
      </c>
      <c r="D185" s="5" t="s">
        <v>12</v>
      </c>
      <c r="E185" s="21">
        <v>0.38319999999999999</v>
      </c>
      <c r="F185" s="21">
        <v>0.38319999999999999</v>
      </c>
      <c r="G185" s="91" t="b">
        <f t="shared" si="117"/>
        <v>1</v>
      </c>
      <c r="H185" s="91" t="b">
        <f t="shared" si="117"/>
        <v>1</v>
      </c>
      <c r="I185" s="91" t="b">
        <f t="shared" si="117"/>
        <v>1</v>
      </c>
      <c r="J185" s="105" t="b">
        <f>J184</f>
        <v>1</v>
      </c>
      <c r="K185" s="110"/>
    </row>
    <row r="186" spans="1:11" x14ac:dyDescent="0.25">
      <c r="A186" s="48" t="s">
        <v>157</v>
      </c>
      <c r="B186" s="5" t="s">
        <v>176</v>
      </c>
      <c r="C186" s="5" t="s">
        <v>37</v>
      </c>
      <c r="D186" s="5" t="s">
        <v>19</v>
      </c>
      <c r="E186" s="30">
        <v>1.16121212121212E-2</v>
      </c>
      <c r="F186" s="30">
        <v>1.16121212121212E-2</v>
      </c>
      <c r="G186" s="91" t="b">
        <f t="shared" si="117"/>
        <v>1</v>
      </c>
      <c r="H186" s="91" t="b">
        <f t="shared" si="117"/>
        <v>1</v>
      </c>
      <c r="I186" s="91" t="b">
        <f t="shared" si="117"/>
        <v>1</v>
      </c>
      <c r="J186" s="105" t="b">
        <f>J185</f>
        <v>1</v>
      </c>
      <c r="K186" s="110"/>
    </row>
    <row r="187" spans="1:11" ht="13.5" customHeight="1" x14ac:dyDescent="0.25">
      <c r="A187" s="50" t="s">
        <v>158</v>
      </c>
      <c r="B187" s="85" t="s">
        <v>176</v>
      </c>
      <c r="C187" s="85" t="s">
        <v>37</v>
      </c>
      <c r="D187" s="85" t="s">
        <v>20</v>
      </c>
      <c r="E187" s="86">
        <v>0.48770909090909098</v>
      </c>
      <c r="F187" s="86">
        <v>0.48770909090909098</v>
      </c>
      <c r="G187" s="87" t="b">
        <f t="shared" si="117"/>
        <v>1</v>
      </c>
      <c r="H187" s="87" t="b">
        <f t="shared" si="117"/>
        <v>1</v>
      </c>
      <c r="I187" s="87" t="b">
        <f t="shared" si="117"/>
        <v>1</v>
      </c>
      <c r="J187" s="109" t="b">
        <f>J186</f>
        <v>1</v>
      </c>
      <c r="K187" s="112"/>
    </row>
    <row r="188" spans="1:11" hidden="1" x14ac:dyDescent="0.25">
      <c r="A188" s="8" t="s">
        <v>95</v>
      </c>
      <c r="B188" s="7"/>
      <c r="C188" s="7"/>
      <c r="D188" s="7"/>
      <c r="E188" s="25"/>
      <c r="F188" s="25"/>
      <c r="G188" s="10"/>
      <c r="H188" s="10"/>
      <c r="I188" s="10"/>
      <c r="J188" s="32"/>
      <c r="K188" s="2"/>
    </row>
    <row r="189" spans="1:11" hidden="1" x14ac:dyDescent="0.25">
      <c r="A189" s="11"/>
      <c r="B189" s="12" t="s">
        <v>175</v>
      </c>
      <c r="C189" s="12" t="s">
        <v>53</v>
      </c>
      <c r="D189" s="12" t="s">
        <v>70</v>
      </c>
      <c r="E189" s="26">
        <v>1</v>
      </c>
      <c r="F189" s="26">
        <v>1</v>
      </c>
      <c r="G189" s="13" t="b">
        <v>1</v>
      </c>
      <c r="H189" s="13" t="b">
        <v>1</v>
      </c>
      <c r="I189" s="13" t="b">
        <v>1</v>
      </c>
      <c r="J189" s="33" t="b">
        <f t="shared" ref="J189:J252" si="118">AND(G189,H189,I189)</f>
        <v>1</v>
      </c>
      <c r="K189" s="2"/>
    </row>
    <row r="190" spans="1:11" hidden="1" x14ac:dyDescent="0.25">
      <c r="A190" s="11"/>
      <c r="B190" s="12" t="s">
        <v>175</v>
      </c>
      <c r="C190" s="12" t="s">
        <v>57</v>
      </c>
      <c r="D190" s="12" t="s">
        <v>71</v>
      </c>
      <c r="E190" s="26">
        <v>1</v>
      </c>
      <c r="F190" s="26">
        <v>1</v>
      </c>
      <c r="G190" s="13" t="b">
        <v>1</v>
      </c>
      <c r="H190" s="13" t="b">
        <v>1</v>
      </c>
      <c r="I190" s="13" t="b">
        <v>1</v>
      </c>
      <c r="J190" s="33" t="b">
        <f t="shared" si="118"/>
        <v>1</v>
      </c>
      <c r="K190" s="2"/>
    </row>
    <row r="191" spans="1:11" hidden="1" x14ac:dyDescent="0.25">
      <c r="A191" s="11"/>
      <c r="B191" s="12" t="s">
        <v>175</v>
      </c>
      <c r="C191" s="12" t="s">
        <v>52</v>
      </c>
      <c r="D191" s="12" t="s">
        <v>32</v>
      </c>
      <c r="E191" s="26">
        <v>1</v>
      </c>
      <c r="F191" s="26">
        <v>1</v>
      </c>
      <c r="G191" s="13" t="b">
        <v>1</v>
      </c>
      <c r="H191" s="13" t="b">
        <v>1</v>
      </c>
      <c r="I191" s="13" t="b">
        <v>1</v>
      </c>
      <c r="J191" s="33" t="b">
        <f t="shared" si="118"/>
        <v>1</v>
      </c>
      <c r="K191" s="2"/>
    </row>
    <row r="192" spans="1:11" hidden="1" x14ac:dyDescent="0.25">
      <c r="A192" s="11"/>
      <c r="B192" s="12" t="s">
        <v>175</v>
      </c>
      <c r="C192" s="12" t="s">
        <v>56</v>
      </c>
      <c r="D192" s="12" t="s">
        <v>33</v>
      </c>
      <c r="E192" s="26">
        <v>1</v>
      </c>
      <c r="F192" s="26">
        <v>1</v>
      </c>
      <c r="G192" s="13" t="b">
        <v>1</v>
      </c>
      <c r="H192" s="13" t="b">
        <v>1</v>
      </c>
      <c r="I192" s="13" t="b">
        <v>1</v>
      </c>
      <c r="J192" s="33" t="b">
        <f t="shared" si="118"/>
        <v>1</v>
      </c>
      <c r="K192" s="2"/>
    </row>
    <row r="193" spans="1:11" hidden="1" x14ac:dyDescent="0.25">
      <c r="A193" s="11"/>
      <c r="B193" s="12" t="s">
        <v>175</v>
      </c>
      <c r="C193" s="12" t="s">
        <v>1</v>
      </c>
      <c r="D193" s="12" t="s">
        <v>9</v>
      </c>
      <c r="E193" s="26">
        <v>1</v>
      </c>
      <c r="F193" s="26">
        <v>1</v>
      </c>
      <c r="G193" s="13" t="b">
        <v>1</v>
      </c>
      <c r="H193" s="13" t="b">
        <v>1</v>
      </c>
      <c r="I193" s="13" t="b">
        <v>1</v>
      </c>
      <c r="J193" s="33" t="b">
        <f t="shared" si="118"/>
        <v>1</v>
      </c>
      <c r="K193" s="2"/>
    </row>
    <row r="194" spans="1:11" hidden="1" x14ac:dyDescent="0.25">
      <c r="A194" s="11"/>
      <c r="B194" s="12" t="s">
        <v>175</v>
      </c>
      <c r="C194" s="12" t="s">
        <v>82</v>
      </c>
      <c r="D194" s="12" t="s">
        <v>9</v>
      </c>
      <c r="E194" s="26">
        <v>1</v>
      </c>
      <c r="F194" s="26">
        <v>1</v>
      </c>
      <c r="G194" s="13" t="b">
        <v>1</v>
      </c>
      <c r="H194" s="13" t="b">
        <v>1</v>
      </c>
      <c r="I194" s="13" t="b">
        <v>1</v>
      </c>
      <c r="J194" s="33" t="b">
        <f t="shared" si="118"/>
        <v>1</v>
      </c>
      <c r="K194" s="2"/>
    </row>
    <row r="195" spans="1:11" hidden="1" x14ac:dyDescent="0.25">
      <c r="A195" s="11"/>
      <c r="B195" s="12" t="s">
        <v>175</v>
      </c>
      <c r="C195" s="12" t="s">
        <v>62</v>
      </c>
      <c r="D195" s="12" t="s">
        <v>64</v>
      </c>
      <c r="E195" s="26">
        <v>1</v>
      </c>
      <c r="F195" s="26">
        <v>1</v>
      </c>
      <c r="G195" s="13" t="b">
        <v>1</v>
      </c>
      <c r="H195" s="13" t="b">
        <v>1</v>
      </c>
      <c r="I195" s="13" t="b">
        <v>1</v>
      </c>
      <c r="J195" s="33" t="b">
        <f t="shared" si="118"/>
        <v>1</v>
      </c>
      <c r="K195" s="2"/>
    </row>
    <row r="196" spans="1:11" hidden="1" x14ac:dyDescent="0.25">
      <c r="A196" s="11"/>
      <c r="B196" s="12" t="s">
        <v>175</v>
      </c>
      <c r="C196" s="12" t="s">
        <v>64</v>
      </c>
      <c r="D196" s="12" t="s">
        <v>40</v>
      </c>
      <c r="E196" s="26">
        <v>1</v>
      </c>
      <c r="F196" s="26">
        <v>1</v>
      </c>
      <c r="G196" s="13" t="b">
        <v>1</v>
      </c>
      <c r="H196" s="13" t="b">
        <v>1</v>
      </c>
      <c r="I196" s="13" t="b">
        <v>1</v>
      </c>
      <c r="J196" s="33" t="b">
        <f>AND(G196,H196,I196)</f>
        <v>1</v>
      </c>
      <c r="K196" s="2"/>
    </row>
    <row r="197" spans="1:11" hidden="1" x14ac:dyDescent="0.25">
      <c r="A197" s="11"/>
      <c r="B197" s="12" t="s">
        <v>175</v>
      </c>
      <c r="C197" s="12" t="s">
        <v>77</v>
      </c>
      <c r="D197" s="12" t="s">
        <v>67</v>
      </c>
      <c r="E197" s="26">
        <v>1</v>
      </c>
      <c r="F197" s="26">
        <v>1</v>
      </c>
      <c r="G197" s="13" t="b">
        <v>1</v>
      </c>
      <c r="H197" s="13" t="b">
        <v>1</v>
      </c>
      <c r="I197" s="13" t="b">
        <v>1</v>
      </c>
      <c r="J197" s="33" t="b">
        <f t="shared" si="118"/>
        <v>1</v>
      </c>
      <c r="K197" s="2"/>
    </row>
    <row r="198" spans="1:11" hidden="1" x14ac:dyDescent="0.25">
      <c r="A198" s="11"/>
      <c r="B198" s="12" t="s">
        <v>175</v>
      </c>
      <c r="C198" s="12" t="s">
        <v>65</v>
      </c>
      <c r="D198" s="12" t="s">
        <v>66</v>
      </c>
      <c r="E198" s="26">
        <v>0.41413299999999997</v>
      </c>
      <c r="F198" s="26">
        <v>0.41413299999999997</v>
      </c>
      <c r="G198" s="13" t="b">
        <v>1</v>
      </c>
      <c r="H198" s="13" t="b">
        <v>1</v>
      </c>
      <c r="I198" s="13" t="b">
        <v>1</v>
      </c>
      <c r="J198" s="33" t="b">
        <f t="shared" si="118"/>
        <v>1</v>
      </c>
      <c r="K198" s="2"/>
    </row>
    <row r="199" spans="1:11" hidden="1" x14ac:dyDescent="0.25">
      <c r="A199" s="8" t="s">
        <v>94</v>
      </c>
      <c r="B199" s="7"/>
      <c r="C199" s="7"/>
      <c r="D199" s="7"/>
      <c r="E199" s="25"/>
      <c r="F199" s="25"/>
      <c r="G199" s="10"/>
      <c r="H199" s="10"/>
      <c r="I199" s="10"/>
      <c r="J199" s="32"/>
      <c r="K199" s="2"/>
    </row>
    <row r="200" spans="1:11" hidden="1" x14ac:dyDescent="0.25">
      <c r="A200" s="14"/>
      <c r="B200" s="15" t="s">
        <v>175</v>
      </c>
      <c r="C200" s="15" t="s">
        <v>61</v>
      </c>
      <c r="D200" s="15" t="s">
        <v>11</v>
      </c>
      <c r="E200" s="27">
        <v>9.9099999999999994E-2</v>
      </c>
      <c r="F200" s="27">
        <v>9.9099999999999994E-2</v>
      </c>
      <c r="G200" s="13" t="b">
        <v>1</v>
      </c>
      <c r="H200" s="13" t="b">
        <v>1</v>
      </c>
      <c r="I200" s="13" t="b">
        <v>1</v>
      </c>
      <c r="J200" s="33" t="b">
        <f t="shared" si="118"/>
        <v>1</v>
      </c>
      <c r="K200" s="2"/>
    </row>
    <row r="201" spans="1:11" hidden="1" x14ac:dyDescent="0.25">
      <c r="A201" s="14"/>
      <c r="B201" s="15" t="s">
        <v>175</v>
      </c>
      <c r="C201" s="15" t="s">
        <v>61</v>
      </c>
      <c r="D201" s="15" t="s">
        <v>16</v>
      </c>
      <c r="E201" s="27">
        <v>0.32200000000000001</v>
      </c>
      <c r="F201" s="27">
        <v>0.32200000000000001</v>
      </c>
      <c r="G201" s="13" t="b">
        <v>1</v>
      </c>
      <c r="H201" s="13" t="b">
        <v>1</v>
      </c>
      <c r="I201" s="13" t="b">
        <v>1</v>
      </c>
      <c r="J201" s="33" t="b">
        <f t="shared" si="118"/>
        <v>1</v>
      </c>
      <c r="K201" s="2"/>
    </row>
    <row r="202" spans="1:11" hidden="1" x14ac:dyDescent="0.25">
      <c r="A202" s="14"/>
      <c r="B202" s="15" t="s">
        <v>175</v>
      </c>
      <c r="C202" s="15" t="s">
        <v>61</v>
      </c>
      <c r="D202" s="15" t="s">
        <v>38</v>
      </c>
      <c r="E202" s="27">
        <v>1.7500000000000002E-2</v>
      </c>
      <c r="F202" s="27">
        <v>1.7500000000000002E-2</v>
      </c>
      <c r="G202" s="13" t="b">
        <v>1</v>
      </c>
      <c r="H202" s="13" t="b">
        <v>1</v>
      </c>
      <c r="I202" s="13" t="b">
        <v>1</v>
      </c>
      <c r="J202" s="33" t="b">
        <f t="shared" si="118"/>
        <v>1</v>
      </c>
      <c r="K202" s="2"/>
    </row>
    <row r="203" spans="1:11" hidden="1" x14ac:dyDescent="0.25">
      <c r="A203" s="14"/>
      <c r="B203" s="15" t="s">
        <v>175</v>
      </c>
      <c r="C203" s="15" t="s">
        <v>61</v>
      </c>
      <c r="D203" s="15" t="s">
        <v>84</v>
      </c>
      <c r="E203" s="27">
        <v>0</v>
      </c>
      <c r="F203" s="27">
        <v>0</v>
      </c>
      <c r="G203" s="13" t="b">
        <v>1</v>
      </c>
      <c r="H203" s="13" t="b">
        <v>1</v>
      </c>
      <c r="I203" s="13" t="b">
        <v>1</v>
      </c>
      <c r="J203" s="33" t="b">
        <f t="shared" si="118"/>
        <v>1</v>
      </c>
      <c r="K203" s="2"/>
    </row>
    <row r="204" spans="1:11" hidden="1" x14ac:dyDescent="0.25">
      <c r="A204" s="14"/>
      <c r="B204" s="15" t="s">
        <v>175</v>
      </c>
      <c r="C204" s="15" t="s">
        <v>61</v>
      </c>
      <c r="D204" s="15" t="s">
        <v>36</v>
      </c>
      <c r="E204" s="27">
        <v>5.9999999999999995E-4</v>
      </c>
      <c r="F204" s="27">
        <v>5.9999999999999995E-4</v>
      </c>
      <c r="G204" s="13" t="b">
        <v>1</v>
      </c>
      <c r="H204" s="13" t="b">
        <v>1</v>
      </c>
      <c r="I204" s="13" t="b">
        <v>1</v>
      </c>
      <c r="J204" s="33" t="b">
        <f t="shared" si="118"/>
        <v>1</v>
      </c>
      <c r="K204" s="2"/>
    </row>
    <row r="205" spans="1:11" hidden="1" x14ac:dyDescent="0.25">
      <c r="A205" s="14"/>
      <c r="B205" s="15" t="s">
        <v>175</v>
      </c>
      <c r="C205" s="15" t="s">
        <v>61</v>
      </c>
      <c r="D205" s="15" t="s">
        <v>4</v>
      </c>
      <c r="E205" s="27">
        <v>0.36619999999999903</v>
      </c>
      <c r="F205" s="27">
        <v>0.36619999999999903</v>
      </c>
      <c r="G205" s="13" t="b">
        <v>1</v>
      </c>
      <c r="H205" s="13" t="b">
        <v>1</v>
      </c>
      <c r="I205" s="13" t="b">
        <v>1</v>
      </c>
      <c r="J205" s="33" t="b">
        <f t="shared" si="118"/>
        <v>1</v>
      </c>
      <c r="K205" s="2"/>
    </row>
    <row r="206" spans="1:11" hidden="1" x14ac:dyDescent="0.25">
      <c r="A206" s="14"/>
      <c r="B206" s="15" t="s">
        <v>175</v>
      </c>
      <c r="C206" s="15" t="s">
        <v>61</v>
      </c>
      <c r="D206" s="15" t="s">
        <v>27</v>
      </c>
      <c r="E206" s="27">
        <v>0.1065</v>
      </c>
      <c r="F206" s="27">
        <v>0.1065</v>
      </c>
      <c r="G206" s="13" t="b">
        <v>1</v>
      </c>
      <c r="H206" s="13" t="b">
        <v>1</v>
      </c>
      <c r="I206" s="13" t="b">
        <v>1</v>
      </c>
      <c r="J206" s="33" t="b">
        <f t="shared" si="118"/>
        <v>1</v>
      </c>
      <c r="K206" s="2"/>
    </row>
    <row r="207" spans="1:11" hidden="1" x14ac:dyDescent="0.25">
      <c r="A207" s="14"/>
      <c r="B207" s="15" t="s">
        <v>175</v>
      </c>
      <c r="C207" s="15" t="s">
        <v>61</v>
      </c>
      <c r="D207" s="15" t="s">
        <v>6</v>
      </c>
      <c r="E207" s="27">
        <v>1.6999999999999999E-3</v>
      </c>
      <c r="F207" s="27">
        <v>1.6999999999999999E-3</v>
      </c>
      <c r="G207" s="13" t="b">
        <v>1</v>
      </c>
      <c r="H207" s="13" t="b">
        <v>1</v>
      </c>
      <c r="I207" s="13" t="b">
        <v>1</v>
      </c>
      <c r="J207" s="33" t="b">
        <f t="shared" si="118"/>
        <v>1</v>
      </c>
      <c r="K207" s="2"/>
    </row>
    <row r="208" spans="1:11" hidden="1" x14ac:dyDescent="0.25">
      <c r="A208" s="14"/>
      <c r="B208" s="15" t="s">
        <v>175</v>
      </c>
      <c r="C208" s="15" t="s">
        <v>61</v>
      </c>
      <c r="D208" s="15" t="s">
        <v>18</v>
      </c>
      <c r="E208" s="27">
        <v>8.6400000000000005E-2</v>
      </c>
      <c r="F208" s="27">
        <v>8.6400000000000005E-2</v>
      </c>
      <c r="G208" s="13" t="b">
        <v>1</v>
      </c>
      <c r="H208" s="13" t="b">
        <v>1</v>
      </c>
      <c r="I208" s="13" t="b">
        <v>1</v>
      </c>
      <c r="J208" s="33" t="b">
        <f t="shared" si="118"/>
        <v>1</v>
      </c>
      <c r="K208" s="2"/>
    </row>
    <row r="209" spans="1:11" hidden="1" x14ac:dyDescent="0.25">
      <c r="A209" s="14"/>
      <c r="B209" s="15" t="s">
        <v>175</v>
      </c>
      <c r="C209" s="15" t="s">
        <v>23</v>
      </c>
      <c r="D209" s="15" t="s">
        <v>10</v>
      </c>
      <c r="E209" s="27">
        <v>0.234057628719886</v>
      </c>
      <c r="F209" s="27">
        <v>0.234057628719886</v>
      </c>
      <c r="G209" s="13" t="b">
        <v>1</v>
      </c>
      <c r="H209" s="13" t="b">
        <v>1</v>
      </c>
      <c r="I209" s="13" t="b">
        <v>1</v>
      </c>
      <c r="J209" s="33" t="b">
        <f t="shared" si="118"/>
        <v>1</v>
      </c>
      <c r="K209" s="2"/>
    </row>
    <row r="210" spans="1:11" hidden="1" x14ac:dyDescent="0.25">
      <c r="A210" s="14"/>
      <c r="B210" s="15" t="s">
        <v>175</v>
      </c>
      <c r="C210" s="15" t="s">
        <v>23</v>
      </c>
      <c r="D210" s="15" t="s">
        <v>15</v>
      </c>
      <c r="E210" s="27">
        <v>0.76051015588096305</v>
      </c>
      <c r="F210" s="27">
        <v>0.76051015588096305</v>
      </c>
      <c r="G210" s="13" t="b">
        <v>1</v>
      </c>
      <c r="H210" s="13" t="b">
        <v>1</v>
      </c>
      <c r="I210" s="13" t="b">
        <v>1</v>
      </c>
      <c r="J210" s="33" t="b">
        <f t="shared" si="118"/>
        <v>1</v>
      </c>
      <c r="K210" s="2"/>
    </row>
    <row r="211" spans="1:11" hidden="1" x14ac:dyDescent="0.25">
      <c r="A211" s="14"/>
      <c r="B211" s="15" t="s">
        <v>175</v>
      </c>
      <c r="C211" s="15" t="s">
        <v>23</v>
      </c>
      <c r="D211" s="15" t="s">
        <v>85</v>
      </c>
      <c r="E211" s="27">
        <v>0</v>
      </c>
      <c r="F211" s="27">
        <v>0</v>
      </c>
      <c r="G211" s="13" t="b">
        <v>1</v>
      </c>
      <c r="H211" s="13" t="b">
        <v>1</v>
      </c>
      <c r="I211" s="13" t="b">
        <v>1</v>
      </c>
      <c r="J211" s="33" t="b">
        <f t="shared" si="118"/>
        <v>1</v>
      </c>
      <c r="K211" s="2"/>
    </row>
    <row r="212" spans="1:11" hidden="1" x14ac:dyDescent="0.25">
      <c r="A212" s="14"/>
      <c r="B212" s="15" t="s">
        <v>175</v>
      </c>
      <c r="C212" s="15" t="s">
        <v>23</v>
      </c>
      <c r="D212" s="15" t="s">
        <v>35</v>
      </c>
      <c r="E212" s="27">
        <v>1.4170996693434099E-3</v>
      </c>
      <c r="F212" s="27">
        <v>1.4170996693434099E-3</v>
      </c>
      <c r="G212" s="13" t="b">
        <v>1</v>
      </c>
      <c r="H212" s="13" t="b">
        <v>1</v>
      </c>
      <c r="I212" s="13" t="b">
        <v>1</v>
      </c>
      <c r="J212" s="33" t="b">
        <f t="shared" si="118"/>
        <v>1</v>
      </c>
      <c r="K212" s="2"/>
    </row>
    <row r="213" spans="1:11" hidden="1" x14ac:dyDescent="0.25">
      <c r="A213" s="14"/>
      <c r="B213" s="15" t="s">
        <v>175</v>
      </c>
      <c r="C213" s="15" t="s">
        <v>23</v>
      </c>
      <c r="D213" s="15" t="s">
        <v>5</v>
      </c>
      <c r="E213" s="27">
        <v>4.0151157298063296E-3</v>
      </c>
      <c r="F213" s="27">
        <v>4.0151157298063296E-3</v>
      </c>
      <c r="G213" s="13" t="b">
        <v>1</v>
      </c>
      <c r="H213" s="13" t="b">
        <v>1</v>
      </c>
      <c r="I213" s="13" t="b">
        <v>1</v>
      </c>
      <c r="J213" s="33" t="b">
        <f t="shared" si="118"/>
        <v>1</v>
      </c>
      <c r="K213" s="2"/>
    </row>
    <row r="214" spans="1:11" hidden="1" x14ac:dyDescent="0.25">
      <c r="A214" s="14"/>
      <c r="B214" s="15" t="s">
        <v>175</v>
      </c>
      <c r="C214" s="15" t="s">
        <v>32</v>
      </c>
      <c r="D214" s="15" t="s">
        <v>37</v>
      </c>
      <c r="E214" s="27">
        <v>0.16843118383060601</v>
      </c>
      <c r="F214" s="27">
        <v>0.16843118383060601</v>
      </c>
      <c r="G214" s="13" t="b">
        <v>1</v>
      </c>
      <c r="H214" s="13" t="b">
        <v>1</v>
      </c>
      <c r="I214" s="13" t="b">
        <v>1</v>
      </c>
      <c r="J214" s="33" t="b">
        <f t="shared" si="118"/>
        <v>1</v>
      </c>
      <c r="K214" s="2"/>
    </row>
    <row r="215" spans="1:11" hidden="1" x14ac:dyDescent="0.25">
      <c r="A215" s="14"/>
      <c r="B215" s="15" t="s">
        <v>175</v>
      </c>
      <c r="C215" s="15" t="s">
        <v>32</v>
      </c>
      <c r="D215" s="15" t="s">
        <v>17</v>
      </c>
      <c r="E215" s="27">
        <v>0.83156881616939304</v>
      </c>
      <c r="F215" s="27">
        <v>0.83156881616939304</v>
      </c>
      <c r="G215" s="13" t="b">
        <v>1</v>
      </c>
      <c r="H215" s="13" t="b">
        <v>1</v>
      </c>
      <c r="I215" s="13" t="b">
        <v>1</v>
      </c>
      <c r="J215" s="33" t="b">
        <f t="shared" si="118"/>
        <v>1</v>
      </c>
      <c r="K215" s="2"/>
    </row>
    <row r="216" spans="1:11" hidden="1" x14ac:dyDescent="0.25">
      <c r="A216" s="8" t="s">
        <v>96</v>
      </c>
      <c r="B216" s="7"/>
      <c r="C216" s="7"/>
      <c r="D216" s="7"/>
      <c r="E216" s="25"/>
      <c r="F216" s="25"/>
      <c r="G216" s="10"/>
      <c r="H216" s="10"/>
      <c r="I216" s="10"/>
      <c r="J216" s="32"/>
      <c r="K216" s="2"/>
    </row>
    <row r="217" spans="1:11" hidden="1" x14ac:dyDescent="0.25">
      <c r="A217" s="14"/>
      <c r="B217" s="15" t="s">
        <v>175</v>
      </c>
      <c r="C217" s="15" t="s">
        <v>33</v>
      </c>
      <c r="D217" s="15" t="s">
        <v>38</v>
      </c>
      <c r="E217" s="27">
        <f>IF(ISBLANK(E214), "", E214)</f>
        <v>0.16843118383060601</v>
      </c>
      <c r="F217" s="27">
        <f t="shared" ref="F217:F218" si="119">IF(ISBLANK(F214), "", F214)</f>
        <v>0.16843118383060601</v>
      </c>
      <c r="G217" s="13" t="b">
        <v>1</v>
      </c>
      <c r="H217" s="13" t="b">
        <v>1</v>
      </c>
      <c r="I217" s="13" t="b">
        <v>1</v>
      </c>
      <c r="J217" s="33" t="b">
        <f>AND(G217,H217,I217)</f>
        <v>1</v>
      </c>
      <c r="K217" s="2"/>
    </row>
    <row r="218" spans="1:11" hidden="1" x14ac:dyDescent="0.25">
      <c r="A218" s="14"/>
      <c r="B218" s="15" t="s">
        <v>175</v>
      </c>
      <c r="C218" s="15" t="s">
        <v>33</v>
      </c>
      <c r="D218" s="15" t="s">
        <v>18</v>
      </c>
      <c r="E218" s="27">
        <f>IF(ISBLANK(E215), "", E215)</f>
        <v>0.83156881616939304</v>
      </c>
      <c r="F218" s="27">
        <f t="shared" si="119"/>
        <v>0.83156881616939304</v>
      </c>
      <c r="G218" s="13" t="b">
        <v>1</v>
      </c>
      <c r="H218" s="13" t="b">
        <v>1</v>
      </c>
      <c r="I218" s="13" t="b">
        <v>1</v>
      </c>
      <c r="J218" s="33" t="b">
        <f t="shared" si="118"/>
        <v>1</v>
      </c>
      <c r="K218" s="2"/>
    </row>
    <row r="219" spans="1:11" hidden="1" x14ac:dyDescent="0.25">
      <c r="A219" s="14"/>
      <c r="B219" s="15" t="s">
        <v>175</v>
      </c>
      <c r="C219" s="15" t="s">
        <v>30</v>
      </c>
      <c r="D219" s="15" t="s">
        <v>10</v>
      </c>
      <c r="E219" s="27">
        <f>IF(ISBLANK(E209), "", E209)</f>
        <v>0.234057628719886</v>
      </c>
      <c r="F219" s="27">
        <f t="shared" ref="F219:F223" si="120">IF(ISBLANK(F209), "", F209)</f>
        <v>0.234057628719886</v>
      </c>
      <c r="G219" s="13" t="b">
        <v>1</v>
      </c>
      <c r="H219" s="13" t="b">
        <v>1</v>
      </c>
      <c r="I219" s="13" t="b">
        <v>1</v>
      </c>
      <c r="J219" s="33" t="b">
        <f>AND(G219,H219,I219)</f>
        <v>1</v>
      </c>
      <c r="K219" s="2"/>
    </row>
    <row r="220" spans="1:11" hidden="1" x14ac:dyDescent="0.25">
      <c r="A220" s="14"/>
      <c r="B220" s="15" t="s">
        <v>175</v>
      </c>
      <c r="C220" s="15" t="s">
        <v>30</v>
      </c>
      <c r="D220" s="15" t="s">
        <v>15</v>
      </c>
      <c r="E220" s="27">
        <f>IF(ISBLANK(E210), "", E210)</f>
        <v>0.76051015588096305</v>
      </c>
      <c r="F220" s="27">
        <f t="shared" si="120"/>
        <v>0.76051015588096305</v>
      </c>
      <c r="G220" s="13" t="b">
        <v>1</v>
      </c>
      <c r="H220" s="13" t="b">
        <v>1</v>
      </c>
      <c r="I220" s="13" t="b">
        <v>1</v>
      </c>
      <c r="J220" s="33" t="b">
        <f t="shared" ref="J220:J223" si="121">AND(G220,H220,I220)</f>
        <v>1</v>
      </c>
      <c r="K220" s="2"/>
    </row>
    <row r="221" spans="1:11" hidden="1" x14ac:dyDescent="0.25">
      <c r="A221" s="14"/>
      <c r="B221" s="15" t="s">
        <v>175</v>
      </c>
      <c r="C221" s="15" t="s">
        <v>30</v>
      </c>
      <c r="D221" s="15" t="s">
        <v>85</v>
      </c>
      <c r="E221" s="27">
        <f>IF(ISBLANK(E211), "", E211)</f>
        <v>0</v>
      </c>
      <c r="F221" s="27">
        <f t="shared" si="120"/>
        <v>0</v>
      </c>
      <c r="G221" s="13" t="b">
        <v>1</v>
      </c>
      <c r="H221" s="13" t="b">
        <v>1</v>
      </c>
      <c r="I221" s="13" t="b">
        <v>1</v>
      </c>
      <c r="J221" s="33" t="b">
        <f>AND(G221,H221,I221)</f>
        <v>1</v>
      </c>
      <c r="K221" s="2"/>
    </row>
    <row r="222" spans="1:11" hidden="1" x14ac:dyDescent="0.25">
      <c r="A222" s="14"/>
      <c r="B222" s="15" t="s">
        <v>175</v>
      </c>
      <c r="C222" s="15" t="s">
        <v>30</v>
      </c>
      <c r="D222" s="15" t="s">
        <v>35</v>
      </c>
      <c r="E222" s="27">
        <f>IF(ISBLANK(E212), "", E212)</f>
        <v>1.4170996693434099E-3</v>
      </c>
      <c r="F222" s="27">
        <f t="shared" si="120"/>
        <v>1.4170996693434099E-3</v>
      </c>
      <c r="G222" s="13" t="b">
        <v>1</v>
      </c>
      <c r="H222" s="13" t="b">
        <v>1</v>
      </c>
      <c r="I222" s="13" t="b">
        <v>1</v>
      </c>
      <c r="J222" s="33" t="b">
        <f t="shared" si="121"/>
        <v>1</v>
      </c>
      <c r="K222" s="2"/>
    </row>
    <row r="223" spans="1:11" hidden="1" x14ac:dyDescent="0.25">
      <c r="A223" s="14"/>
      <c r="B223" s="15" t="s">
        <v>175</v>
      </c>
      <c r="C223" s="15" t="s">
        <v>30</v>
      </c>
      <c r="D223" s="15" t="s">
        <v>5</v>
      </c>
      <c r="E223" s="27">
        <f>IF(ISBLANK(E213), "", E213)</f>
        <v>4.0151157298063296E-3</v>
      </c>
      <c r="F223" s="27">
        <f t="shared" si="120"/>
        <v>4.0151157298063296E-3</v>
      </c>
      <c r="G223" s="13" t="b">
        <v>1</v>
      </c>
      <c r="H223" s="13" t="b">
        <v>1</v>
      </c>
      <c r="I223" s="13" t="b">
        <v>1</v>
      </c>
      <c r="J223" s="33" t="b">
        <f t="shared" si="121"/>
        <v>1</v>
      </c>
      <c r="K223" s="2"/>
    </row>
    <row r="224" spans="1:11" hidden="1" x14ac:dyDescent="0.25">
      <c r="A224" s="14"/>
      <c r="B224" s="15" t="s">
        <v>175</v>
      </c>
      <c r="C224" s="15" t="s">
        <v>40</v>
      </c>
      <c r="D224" s="15" t="s">
        <v>56</v>
      </c>
      <c r="E224" s="27">
        <f t="shared" ref="E224:F226" si="122">IF(ISBLANK(E60), "", E60)</f>
        <v>5.0000000000000001E-3</v>
      </c>
      <c r="F224" s="27">
        <f t="shared" si="122"/>
        <v>5.0000000000000001E-3</v>
      </c>
      <c r="G224" s="13" t="b">
        <f>G$59</f>
        <v>1</v>
      </c>
      <c r="H224" s="13" t="b">
        <f>H$59</f>
        <v>1</v>
      </c>
      <c r="I224" s="13" t="b">
        <f>I$59</f>
        <v>1</v>
      </c>
      <c r="J224" s="33" t="b">
        <f t="shared" si="118"/>
        <v>1</v>
      </c>
      <c r="K224" s="2"/>
    </row>
    <row r="225" spans="1:11" hidden="1" x14ac:dyDescent="0.25">
      <c r="A225" s="14"/>
      <c r="B225" s="15" t="s">
        <v>175</v>
      </c>
      <c r="C225" s="15" t="s">
        <v>40</v>
      </c>
      <c r="D225" s="15" t="s">
        <v>58</v>
      </c>
      <c r="E225" s="27">
        <f t="shared" si="122"/>
        <v>5.0000000000000001E-3</v>
      </c>
      <c r="F225" s="27">
        <f t="shared" si="122"/>
        <v>5.0000000000000001E-3</v>
      </c>
      <c r="G225" s="13" t="b">
        <f t="shared" ref="G225:I226" si="123">G$59</f>
        <v>1</v>
      </c>
      <c r="H225" s="13" t="b">
        <f t="shared" si="123"/>
        <v>1</v>
      </c>
      <c r="I225" s="13" t="b">
        <f t="shared" si="123"/>
        <v>1</v>
      </c>
      <c r="J225" s="33" t="b">
        <f t="shared" si="118"/>
        <v>1</v>
      </c>
      <c r="K225" s="2"/>
    </row>
    <row r="226" spans="1:11" hidden="1" x14ac:dyDescent="0.25">
      <c r="A226" s="14"/>
      <c r="B226" s="15" t="s">
        <v>175</v>
      </c>
      <c r="C226" s="15" t="s">
        <v>40</v>
      </c>
      <c r="D226" s="15" t="s">
        <v>59</v>
      </c>
      <c r="E226" s="27">
        <f t="shared" si="122"/>
        <v>0.99</v>
      </c>
      <c r="F226" s="27">
        <f t="shared" si="122"/>
        <v>0.99</v>
      </c>
      <c r="G226" s="13" t="b">
        <f t="shared" si="123"/>
        <v>1</v>
      </c>
      <c r="H226" s="13" t="b">
        <f t="shared" si="123"/>
        <v>1</v>
      </c>
      <c r="I226" s="13" t="b">
        <f t="shared" si="123"/>
        <v>1</v>
      </c>
      <c r="J226" s="33" t="b">
        <f t="shared" si="118"/>
        <v>1</v>
      </c>
      <c r="K226" s="2"/>
    </row>
    <row r="227" spans="1:11" hidden="1" x14ac:dyDescent="0.25">
      <c r="A227" s="14"/>
      <c r="B227" s="15" t="s">
        <v>175</v>
      </c>
      <c r="C227" s="15" t="s">
        <v>69</v>
      </c>
      <c r="D227" s="15" t="s">
        <v>3</v>
      </c>
      <c r="E227" s="27">
        <f t="shared" ref="E227:F229" si="124">IF(ISBLANK(E88), "", E88)</f>
        <v>9.7000000000000003E-3</v>
      </c>
      <c r="F227" s="27">
        <f t="shared" si="124"/>
        <v>9.7000000000000003E-3</v>
      </c>
      <c r="G227" s="13" t="b">
        <f>G$87</f>
        <v>1</v>
      </c>
      <c r="H227" s="13" t="b">
        <f t="shared" ref="G227:I231" si="125">H$87</f>
        <v>1</v>
      </c>
      <c r="I227" s="13" t="b">
        <f t="shared" si="125"/>
        <v>1</v>
      </c>
      <c r="J227" s="33" t="b">
        <f t="shared" si="118"/>
        <v>1</v>
      </c>
      <c r="K227" s="2"/>
    </row>
    <row r="228" spans="1:11" hidden="1" x14ac:dyDescent="0.25">
      <c r="A228" s="14"/>
      <c r="B228" s="15" t="s">
        <v>175</v>
      </c>
      <c r="C228" s="15" t="s">
        <v>69</v>
      </c>
      <c r="D228" s="15" t="s">
        <v>26</v>
      </c>
      <c r="E228" s="27">
        <f t="shared" si="124"/>
        <v>2.9999999999999997E-4</v>
      </c>
      <c r="F228" s="27">
        <f t="shared" si="124"/>
        <v>2.9999999999999997E-4</v>
      </c>
      <c r="G228" s="13" t="b">
        <f t="shared" si="125"/>
        <v>1</v>
      </c>
      <c r="H228" s="13" t="b">
        <f t="shared" si="125"/>
        <v>1</v>
      </c>
      <c r="I228" s="13" t="b">
        <f t="shared" si="125"/>
        <v>1</v>
      </c>
      <c r="J228" s="33" t="b">
        <f t="shared" si="118"/>
        <v>1</v>
      </c>
      <c r="K228" s="2"/>
    </row>
    <row r="229" spans="1:11" hidden="1" x14ac:dyDescent="0.25">
      <c r="A229" s="14"/>
      <c r="B229" s="15" t="s">
        <v>175</v>
      </c>
      <c r="C229" s="15" t="s">
        <v>69</v>
      </c>
      <c r="D229" s="15" t="s">
        <v>46</v>
      </c>
      <c r="E229" s="27">
        <f t="shared" si="124"/>
        <v>0.99</v>
      </c>
      <c r="F229" s="27">
        <f t="shared" si="124"/>
        <v>0.99</v>
      </c>
      <c r="G229" s="13" t="b">
        <f t="shared" si="125"/>
        <v>1</v>
      </c>
      <c r="H229" s="13" t="b">
        <f t="shared" si="125"/>
        <v>1</v>
      </c>
      <c r="I229" s="13" t="b">
        <f t="shared" si="125"/>
        <v>1</v>
      </c>
      <c r="J229" s="33" t="b">
        <f t="shared" si="118"/>
        <v>1</v>
      </c>
      <c r="K229" s="2"/>
    </row>
    <row r="230" spans="1:11" hidden="1" x14ac:dyDescent="0.25">
      <c r="A230" s="14"/>
      <c r="B230" s="15" t="s">
        <v>175</v>
      </c>
      <c r="C230" s="15" t="s">
        <v>47</v>
      </c>
      <c r="D230" s="15" t="s">
        <v>4</v>
      </c>
      <c r="E230" s="27">
        <f>IF(ISBLANK(E86), "", E86)</f>
        <v>0.97001986863918799</v>
      </c>
      <c r="F230" s="27">
        <f>IF(ISBLANK(F86), "", F86)</f>
        <v>0.97001986863918799</v>
      </c>
      <c r="G230" s="13" t="b">
        <f t="shared" si="125"/>
        <v>1</v>
      </c>
      <c r="H230" s="13" t="b">
        <f t="shared" si="125"/>
        <v>1</v>
      </c>
      <c r="I230" s="13" t="b">
        <f t="shared" si="125"/>
        <v>1</v>
      </c>
      <c r="J230" s="33" t="b">
        <f t="shared" si="118"/>
        <v>1</v>
      </c>
      <c r="K230" s="2"/>
    </row>
    <row r="231" spans="1:11" hidden="1" x14ac:dyDescent="0.25">
      <c r="A231" s="14"/>
      <c r="B231" s="15" t="s">
        <v>175</v>
      </c>
      <c r="C231" s="15" t="s">
        <v>47</v>
      </c>
      <c r="D231" s="15" t="s">
        <v>27</v>
      </c>
      <c r="E231" s="27">
        <f>IF(ISBLANK(E242), "", E242)</f>
        <v>2.9980131360812012E-2</v>
      </c>
      <c r="F231" s="27">
        <f t="shared" ref="F231" si="126">IF(ISBLANK(F242), "", F242)</f>
        <v>2.9980131360812012E-2</v>
      </c>
      <c r="G231" s="13" t="b">
        <f>G$87</f>
        <v>1</v>
      </c>
      <c r="H231" s="13" t="b">
        <f t="shared" si="125"/>
        <v>1</v>
      </c>
      <c r="I231" s="13" t="b">
        <f t="shared" si="125"/>
        <v>1</v>
      </c>
      <c r="J231" s="33" t="b">
        <f t="shared" si="118"/>
        <v>1</v>
      </c>
      <c r="K231" s="2"/>
    </row>
    <row r="232" spans="1:11" hidden="1" x14ac:dyDescent="0.25">
      <c r="A232" s="14"/>
      <c r="B232" s="15" t="s">
        <v>175</v>
      </c>
      <c r="C232" s="15" t="s">
        <v>70</v>
      </c>
      <c r="D232" s="15" t="s">
        <v>29</v>
      </c>
      <c r="E232" s="27">
        <f t="shared" ref="E232:F234" si="127">IF(ISBLANK(E82), "", E82)</f>
        <v>0.105</v>
      </c>
      <c r="F232" s="27">
        <f t="shared" si="127"/>
        <v>0.105</v>
      </c>
      <c r="G232" s="13" t="b">
        <f>G$81</f>
        <v>1</v>
      </c>
      <c r="H232" s="13" t="b">
        <f t="shared" ref="G232:I234" si="128">H$81</f>
        <v>1</v>
      </c>
      <c r="I232" s="13" t="b">
        <f t="shared" si="128"/>
        <v>1</v>
      </c>
      <c r="J232" s="33" t="b">
        <f>AND(G232,H232,I232)</f>
        <v>1</v>
      </c>
      <c r="K232" s="2"/>
    </row>
    <row r="233" spans="1:11" hidden="1" x14ac:dyDescent="0.25">
      <c r="A233" s="14"/>
      <c r="B233" s="15" t="s">
        <v>175</v>
      </c>
      <c r="C233" s="15" t="s">
        <v>70</v>
      </c>
      <c r="D233" s="15" t="s">
        <v>1</v>
      </c>
      <c r="E233" s="27">
        <f t="shared" si="127"/>
        <v>0.873</v>
      </c>
      <c r="F233" s="27">
        <f t="shared" si="127"/>
        <v>0.873</v>
      </c>
      <c r="G233" s="13" t="b">
        <f t="shared" si="128"/>
        <v>1</v>
      </c>
      <c r="H233" s="13" t="b">
        <f t="shared" si="128"/>
        <v>1</v>
      </c>
      <c r="I233" s="13" t="b">
        <f t="shared" si="128"/>
        <v>1</v>
      </c>
      <c r="J233" s="33" t="b">
        <f t="shared" si="118"/>
        <v>1</v>
      </c>
      <c r="K233" s="2"/>
    </row>
    <row r="234" spans="1:11" hidden="1" x14ac:dyDescent="0.25">
      <c r="A234" s="14"/>
      <c r="B234" s="15" t="s">
        <v>175</v>
      </c>
      <c r="C234" s="15" t="s">
        <v>70</v>
      </c>
      <c r="D234" s="15" t="s">
        <v>9</v>
      </c>
      <c r="E234" s="27">
        <f t="shared" si="127"/>
        <v>2.1999999999999999E-2</v>
      </c>
      <c r="F234" s="27">
        <f t="shared" si="127"/>
        <v>2.1999999999999999E-2</v>
      </c>
      <c r="G234" s="13" t="b">
        <f t="shared" si="128"/>
        <v>1</v>
      </c>
      <c r="H234" s="13" t="b">
        <f t="shared" si="128"/>
        <v>1</v>
      </c>
      <c r="I234" s="13" t="b">
        <f t="shared" si="128"/>
        <v>1</v>
      </c>
      <c r="J234" s="33" t="b">
        <f t="shared" si="118"/>
        <v>1</v>
      </c>
      <c r="K234" s="2"/>
    </row>
    <row r="235" spans="1:11" hidden="1" x14ac:dyDescent="0.25">
      <c r="A235" s="8" t="s">
        <v>97</v>
      </c>
      <c r="B235" s="7"/>
      <c r="C235" s="7"/>
      <c r="D235" s="7"/>
      <c r="E235" s="25"/>
      <c r="F235" s="25"/>
      <c r="G235" s="10"/>
      <c r="H235" s="10"/>
      <c r="I235" s="10"/>
      <c r="J235" s="32"/>
      <c r="K235" s="2"/>
    </row>
    <row r="236" spans="1:11" hidden="1" x14ac:dyDescent="0.25">
      <c r="A236" s="16"/>
      <c r="B236" s="15" t="s">
        <v>175</v>
      </c>
      <c r="C236" s="15" t="s">
        <v>39</v>
      </c>
      <c r="D236" s="15" t="s">
        <v>31</v>
      </c>
      <c r="E236" s="27">
        <f>IF(ISBLANK(F32), "", 1-F32)</f>
        <v>0.10967006966656501</v>
      </c>
      <c r="F236" s="27">
        <f>IF(ISBLANK(E32), "", 1-E32)</f>
        <v>0.10967006966656501</v>
      </c>
      <c r="G236" s="13" t="b">
        <f>G31</f>
        <v>1</v>
      </c>
      <c r="H236" s="13" t="b">
        <f>H31</f>
        <v>1</v>
      </c>
      <c r="I236" s="13" t="b">
        <f>I31</f>
        <v>1</v>
      </c>
      <c r="J236" s="33" t="b">
        <f t="shared" si="118"/>
        <v>1</v>
      </c>
      <c r="K236" s="2"/>
    </row>
    <row r="237" spans="1:11" hidden="1" x14ac:dyDescent="0.25">
      <c r="A237" s="14"/>
      <c r="B237" s="15" t="s">
        <v>175</v>
      </c>
      <c r="C237" s="15" t="s">
        <v>66</v>
      </c>
      <c r="D237" s="15" t="s">
        <v>73</v>
      </c>
      <c r="E237" s="27">
        <f>IF(ISBLANK(F5),"",1-F5)</f>
        <v>0.65015537188588601</v>
      </c>
      <c r="F237" s="27">
        <f>IF(ISBLANK(E5), "", 1-E5)</f>
        <v>0.65015537188588601</v>
      </c>
      <c r="G237" s="13" t="b">
        <f>G4</f>
        <v>1</v>
      </c>
      <c r="H237" s="13" t="b">
        <f>H4</f>
        <v>1</v>
      </c>
      <c r="I237" s="13" t="b">
        <f>I4</f>
        <v>1</v>
      </c>
      <c r="J237" s="33" t="b">
        <f t="shared" si="118"/>
        <v>1</v>
      </c>
      <c r="K237" s="2"/>
    </row>
    <row r="238" spans="1:11" hidden="1" x14ac:dyDescent="0.25">
      <c r="A238" s="14"/>
      <c r="B238" s="15" t="s">
        <v>175</v>
      </c>
      <c r="C238" s="15" t="s">
        <v>72</v>
      </c>
      <c r="D238" s="15" t="s">
        <v>76</v>
      </c>
      <c r="E238" s="27">
        <f>IF(ISBLANK(F7),"",1-F7)</f>
        <v>0.31999999999999995</v>
      </c>
      <c r="F238" s="27">
        <f>IF(ISBLANK(E7), "", 1-E7)</f>
        <v>0.31999999999999995</v>
      </c>
      <c r="G238" s="13" t="b">
        <f>G6</f>
        <v>1</v>
      </c>
      <c r="H238" s="13" t="b">
        <f>H6</f>
        <v>1</v>
      </c>
      <c r="I238" s="13" t="b">
        <f>I6</f>
        <v>1</v>
      </c>
      <c r="J238" s="33" t="b">
        <f t="shared" si="118"/>
        <v>1</v>
      </c>
      <c r="K238" s="2"/>
    </row>
    <row r="239" spans="1:11" hidden="1" x14ac:dyDescent="0.25">
      <c r="A239" s="14"/>
      <c r="B239" s="15" t="s">
        <v>175</v>
      </c>
      <c r="C239" s="15" t="s">
        <v>73</v>
      </c>
      <c r="D239" s="15" t="s">
        <v>74</v>
      </c>
      <c r="E239" s="27">
        <f>IF(ISBLANK(F9),"",1-F9)</f>
        <v>0.31999999999999995</v>
      </c>
      <c r="F239" s="27">
        <f>IF(ISBLANK(E9), "", 1-E9)</f>
        <v>0.31999999999999995</v>
      </c>
      <c r="G239" s="13" t="b">
        <f>G8</f>
        <v>1</v>
      </c>
      <c r="H239" s="13" t="b">
        <f>H8</f>
        <v>1</v>
      </c>
      <c r="I239" s="13" t="b">
        <f>I8</f>
        <v>1</v>
      </c>
      <c r="J239" s="33" t="b">
        <f t="shared" si="118"/>
        <v>1</v>
      </c>
      <c r="K239" s="2"/>
    </row>
    <row r="240" spans="1:11" hidden="1" x14ac:dyDescent="0.25">
      <c r="A240" s="14"/>
      <c r="B240" s="15" t="s">
        <v>175</v>
      </c>
      <c r="C240" s="15" t="s">
        <v>75</v>
      </c>
      <c r="D240" s="15" t="s">
        <v>79</v>
      </c>
      <c r="E240" s="27">
        <f>IF(ISBLANK(F35),"",1-F35)</f>
        <v>0</v>
      </c>
      <c r="F240" s="27">
        <f>IF(ISBLANK(E35), "", 1-E35)</f>
        <v>0</v>
      </c>
      <c r="G240" s="13" t="b">
        <f>G34</f>
        <v>1</v>
      </c>
      <c r="H240" s="13" t="b">
        <f>H34</f>
        <v>1</v>
      </c>
      <c r="I240" s="13" t="b">
        <f>I34</f>
        <v>1</v>
      </c>
      <c r="J240" s="33" t="b">
        <f t="shared" si="118"/>
        <v>1</v>
      </c>
      <c r="K240" s="2"/>
    </row>
    <row r="241" spans="1:11" hidden="1" x14ac:dyDescent="0.25">
      <c r="A241" s="14"/>
      <c r="B241" s="15" t="s">
        <v>175</v>
      </c>
      <c r="C241" s="15" t="s">
        <v>46</v>
      </c>
      <c r="D241" s="15" t="s">
        <v>79</v>
      </c>
      <c r="E241" s="27">
        <f>IF(ISBLANK(F42),"",1-F42)</f>
        <v>0</v>
      </c>
      <c r="F241" s="27">
        <f>IF(ISBLANK(E42), "", 1-E42)</f>
        <v>0</v>
      </c>
      <c r="G241" s="13" t="b">
        <f>G41</f>
        <v>1</v>
      </c>
      <c r="H241" s="13" t="b">
        <f>H41</f>
        <v>1</v>
      </c>
      <c r="I241" s="13" t="b">
        <f>I41</f>
        <v>1</v>
      </c>
      <c r="J241" s="33" t="b">
        <f t="shared" si="118"/>
        <v>1</v>
      </c>
      <c r="K241" s="2"/>
    </row>
    <row r="242" spans="1:11" hidden="1" x14ac:dyDescent="0.25">
      <c r="A242" s="14"/>
      <c r="B242" s="15" t="s">
        <v>175</v>
      </c>
      <c r="C242" s="15" t="s">
        <v>48</v>
      </c>
      <c r="D242" s="15" t="s">
        <v>26</v>
      </c>
      <c r="E242" s="27">
        <f>IF(ISBLANK(F86),"",1-F86)</f>
        <v>2.9980131360812012E-2</v>
      </c>
      <c r="F242" s="27">
        <f>IF(ISBLANK(E86), "", 1-E86)</f>
        <v>2.9980131360812012E-2</v>
      </c>
      <c r="G242" s="13" t="b">
        <f>G85</f>
        <v>1</v>
      </c>
      <c r="H242" s="13" t="b">
        <f>H85</f>
        <v>1</v>
      </c>
      <c r="I242" s="13" t="b">
        <f>I85</f>
        <v>1</v>
      </c>
      <c r="J242" s="33" t="b">
        <f t="shared" si="118"/>
        <v>1</v>
      </c>
      <c r="K242" s="2"/>
    </row>
    <row r="243" spans="1:11" hidden="1" x14ac:dyDescent="0.25">
      <c r="A243" s="14"/>
      <c r="B243" s="15" t="s">
        <v>175</v>
      </c>
      <c r="C243" s="15" t="s">
        <v>43</v>
      </c>
      <c r="D243" s="15" t="s">
        <v>28</v>
      </c>
      <c r="E243" s="27">
        <f>IF(ISBLANK(F98),"",1-F98)</f>
        <v>0.48015414258188904</v>
      </c>
      <c r="F243" s="27">
        <f>IF(ISBLANK(E98), "", 1-E98)</f>
        <v>0.48015414258188904</v>
      </c>
      <c r="G243" s="13" t="b">
        <f>G97</f>
        <v>1</v>
      </c>
      <c r="H243" s="13" t="b">
        <f>H97</f>
        <v>1</v>
      </c>
      <c r="I243" s="13" t="b">
        <f>I97</f>
        <v>1</v>
      </c>
      <c r="J243" s="33" t="b">
        <f t="shared" si="118"/>
        <v>1</v>
      </c>
      <c r="K243" s="2"/>
    </row>
    <row r="244" spans="1:11" hidden="1" x14ac:dyDescent="0.25">
      <c r="A244" s="14"/>
      <c r="B244" s="15" t="s">
        <v>175</v>
      </c>
      <c r="C244" s="15" t="s">
        <v>45</v>
      </c>
      <c r="D244" s="15" t="s">
        <v>50</v>
      </c>
      <c r="E244" s="27">
        <f>IF(ISBLANK(F109),"",1-F109)</f>
        <v>0.8</v>
      </c>
      <c r="F244" s="27">
        <f>IF(ISBLANK(E109), "", 1-E109)</f>
        <v>0.8</v>
      </c>
      <c r="G244" s="13" t="b">
        <f>G108</f>
        <v>1</v>
      </c>
      <c r="H244" s="13" t="b">
        <f>H108</f>
        <v>1</v>
      </c>
      <c r="I244" s="13" t="b">
        <f>I108</f>
        <v>1</v>
      </c>
      <c r="J244" s="33" t="b">
        <f t="shared" si="118"/>
        <v>1</v>
      </c>
      <c r="K244" s="2"/>
    </row>
    <row r="245" spans="1:11" hidden="1" x14ac:dyDescent="0.25">
      <c r="A245" s="14"/>
      <c r="B245" s="15" t="s">
        <v>175</v>
      </c>
      <c r="C245" s="15" t="s">
        <v>60</v>
      </c>
      <c r="D245" s="15" t="s">
        <v>61</v>
      </c>
      <c r="E245" s="27">
        <f>IF(ISBLANK(F160),"",1-F160)</f>
        <v>0.99992800000000004</v>
      </c>
      <c r="F245" s="27">
        <f>IF(ISBLANK(E160), "", 1-E160)</f>
        <v>0.99992800000000004</v>
      </c>
      <c r="G245" s="13" t="b">
        <f>G159</f>
        <v>1</v>
      </c>
      <c r="H245" s="13" t="b">
        <f>H159</f>
        <v>1</v>
      </c>
      <c r="I245" s="13" t="b">
        <f>I159</f>
        <v>1</v>
      </c>
      <c r="J245" s="33" t="b">
        <f t="shared" si="118"/>
        <v>1</v>
      </c>
      <c r="K245" s="2"/>
    </row>
    <row r="246" spans="1:11" hidden="1" x14ac:dyDescent="0.25">
      <c r="A246" s="14"/>
      <c r="B246" s="15" t="s">
        <v>175</v>
      </c>
      <c r="C246" s="15" t="s">
        <v>51</v>
      </c>
      <c r="D246" s="15" t="s">
        <v>46</v>
      </c>
      <c r="E246" s="27">
        <f>IF(ISBLANK(F30),"",1-F30)</f>
        <v>0.84898755794096203</v>
      </c>
      <c r="F246" s="27">
        <f>IF(ISBLANK(E30), "", 1-E30)</f>
        <v>0.84898755794096203</v>
      </c>
      <c r="G246" s="13" t="b">
        <f>G29</f>
        <v>1</v>
      </c>
      <c r="H246" s="13" t="b">
        <f>H29</f>
        <v>1</v>
      </c>
      <c r="I246" s="13" t="b">
        <f>I29</f>
        <v>1</v>
      </c>
      <c r="J246" s="33" t="b">
        <f t="shared" si="118"/>
        <v>1</v>
      </c>
      <c r="K246" s="2"/>
    </row>
    <row r="247" spans="1:11" hidden="1" x14ac:dyDescent="0.25">
      <c r="A247" s="14"/>
      <c r="B247" s="15" t="s">
        <v>176</v>
      </c>
      <c r="C247" s="15" t="s">
        <v>93</v>
      </c>
      <c r="D247" s="15" t="s">
        <v>93</v>
      </c>
      <c r="E247" s="27">
        <f>IF(ISBLANK(F134),"",1-F134)</f>
        <v>1</v>
      </c>
      <c r="F247" s="27">
        <f>IF(ISBLANK(E134), "", 1-E134)</f>
        <v>1</v>
      </c>
      <c r="G247" s="13" t="b">
        <f>G133</f>
        <v>1</v>
      </c>
      <c r="H247" s="13" t="b">
        <f>H133</f>
        <v>1</v>
      </c>
      <c r="I247" s="13" t="b">
        <f>I133</f>
        <v>1</v>
      </c>
      <c r="J247" s="33" t="b">
        <f t="shared" si="118"/>
        <v>1</v>
      </c>
      <c r="K247" s="2"/>
    </row>
    <row r="248" spans="1:11" hidden="1" x14ac:dyDescent="0.25">
      <c r="A248" s="14"/>
      <c r="B248" s="15" t="s">
        <v>176</v>
      </c>
      <c r="C248" s="15" t="s">
        <v>85</v>
      </c>
      <c r="D248" s="15" t="s">
        <v>85</v>
      </c>
      <c r="E248" s="27">
        <f>IF(ISBLANK(F132),"",1-F132)</f>
        <v>0.95799999999999996</v>
      </c>
      <c r="F248" s="27">
        <f>IF(ISBLANK(E132), "", 1-E132)</f>
        <v>0.95799999999999996</v>
      </c>
      <c r="G248" s="13" t="b">
        <f>G131</f>
        <v>1</v>
      </c>
      <c r="H248" s="13" t="b">
        <f>H131</f>
        <v>1</v>
      </c>
      <c r="I248" s="13" t="b">
        <f>I131</f>
        <v>1</v>
      </c>
      <c r="J248" s="33" t="b">
        <f t="shared" si="118"/>
        <v>1</v>
      </c>
      <c r="K248" s="2"/>
    </row>
    <row r="249" spans="1:11" hidden="1" x14ac:dyDescent="0.25">
      <c r="A249" s="14"/>
      <c r="B249" s="15" t="s">
        <v>176</v>
      </c>
      <c r="C249" s="15" t="s">
        <v>35</v>
      </c>
      <c r="D249" s="15" t="s">
        <v>35</v>
      </c>
      <c r="E249" s="27">
        <f>IF(ISBLANK(F130),"",1-F130)</f>
        <v>0.95799999999999996</v>
      </c>
      <c r="F249" s="27">
        <f>IF(ISBLANK(E130), "", 1-E130)</f>
        <v>0.95799999999999996</v>
      </c>
      <c r="G249" s="13" t="b">
        <f>G129</f>
        <v>1</v>
      </c>
      <c r="H249" s="13" t="b">
        <f>H129</f>
        <v>1</v>
      </c>
      <c r="I249" s="13" t="b">
        <f>I129</f>
        <v>1</v>
      </c>
      <c r="J249" s="33" t="b">
        <f t="shared" si="118"/>
        <v>1</v>
      </c>
      <c r="K249" s="2"/>
    </row>
    <row r="250" spans="1:11" hidden="1" x14ac:dyDescent="0.25">
      <c r="A250" s="14"/>
      <c r="B250" s="15" t="s">
        <v>176</v>
      </c>
      <c r="C250" s="15" t="s">
        <v>20</v>
      </c>
      <c r="D250" s="15" t="s">
        <v>20</v>
      </c>
      <c r="E250" s="27">
        <f>IF(ISBLANK(F128),"",1-F128)</f>
        <v>0.95799999999999996</v>
      </c>
      <c r="F250" s="27">
        <f>IF(ISBLANK(E128), "", 1-E128)</f>
        <v>0.95799999999999996</v>
      </c>
      <c r="G250" s="13" t="b">
        <f>G127</f>
        <v>1</v>
      </c>
      <c r="H250" s="13" t="b">
        <f>H127</f>
        <v>1</v>
      </c>
      <c r="I250" s="13" t="b">
        <f>I127</f>
        <v>1</v>
      </c>
      <c r="J250" s="33" t="b">
        <f t="shared" si="118"/>
        <v>1</v>
      </c>
      <c r="K250" s="2"/>
    </row>
    <row r="251" spans="1:11" hidden="1" x14ac:dyDescent="0.25">
      <c r="A251" s="14"/>
      <c r="B251" s="15" t="s">
        <v>176</v>
      </c>
      <c r="C251" s="15" t="s">
        <v>28</v>
      </c>
      <c r="D251" s="15" t="s">
        <v>28</v>
      </c>
      <c r="E251" s="27">
        <f>IF(ISBLANK(F126),"",1-F126)</f>
        <v>0.95799999999999996</v>
      </c>
      <c r="F251" s="27">
        <f>IF(ISBLANK(E126), "", 1-E126)</f>
        <v>0.95799999999999996</v>
      </c>
      <c r="G251" s="13" t="b">
        <f>G125</f>
        <v>1</v>
      </c>
      <c r="H251" s="13" t="b">
        <f>H125</f>
        <v>1</v>
      </c>
      <c r="I251" s="13" t="b">
        <f>I125</f>
        <v>1</v>
      </c>
      <c r="J251" s="33" t="b">
        <f t="shared" si="118"/>
        <v>1</v>
      </c>
      <c r="K251" s="2"/>
    </row>
    <row r="252" spans="1:11" hidden="1" x14ac:dyDescent="0.25">
      <c r="A252" s="14"/>
      <c r="B252" s="15" t="s">
        <v>176</v>
      </c>
      <c r="C252" s="15" t="s">
        <v>26</v>
      </c>
      <c r="D252" s="15" t="s">
        <v>26</v>
      </c>
      <c r="E252" s="27">
        <f>IF(ISBLANK(F124),"",1-F124)</f>
        <v>0.95799999999999996</v>
      </c>
      <c r="F252" s="27">
        <f>IF(ISBLANK(E124), "", 1-E124)</f>
        <v>0.95799999999999996</v>
      </c>
      <c r="G252" s="13" t="b">
        <f>G123</f>
        <v>1</v>
      </c>
      <c r="H252" s="13" t="b">
        <f>H123</f>
        <v>1</v>
      </c>
      <c r="I252" s="13" t="b">
        <f>I123</f>
        <v>1</v>
      </c>
      <c r="J252" s="33" t="b">
        <f t="shared" si="118"/>
        <v>1</v>
      </c>
      <c r="K252" s="2"/>
    </row>
    <row r="253" spans="1:11" hidden="1" x14ac:dyDescent="0.25">
      <c r="A253" s="14"/>
      <c r="B253" s="15" t="s">
        <v>176</v>
      </c>
      <c r="C253" s="15" t="s">
        <v>15</v>
      </c>
      <c r="D253" s="15" t="s">
        <v>15</v>
      </c>
      <c r="E253" s="27">
        <f>IF(ISBLANK(F122),"",1-F122)</f>
        <v>0.95799999999999996</v>
      </c>
      <c r="F253" s="27">
        <f>IF(ISBLANK(E122), "", 1-E122)</f>
        <v>0.95799999999999996</v>
      </c>
      <c r="G253" s="13" t="b">
        <f>G121</f>
        <v>1</v>
      </c>
      <c r="H253" s="13" t="b">
        <f>H121</f>
        <v>1</v>
      </c>
      <c r="I253" s="13" t="b">
        <f>I121</f>
        <v>1</v>
      </c>
      <c r="J253" s="33" t="b">
        <f t="shared" ref="J253:J261" si="129">AND(G253,H253,I253)</f>
        <v>1</v>
      </c>
      <c r="K253" s="2"/>
    </row>
    <row r="254" spans="1:11" hidden="1" x14ac:dyDescent="0.25">
      <c r="A254" s="14"/>
      <c r="B254" s="15" t="s">
        <v>176</v>
      </c>
      <c r="C254" s="15" t="s">
        <v>12</v>
      </c>
      <c r="D254" s="15" t="s">
        <v>12</v>
      </c>
      <c r="E254" s="27">
        <f>IF(ISBLANK(F120),"",1-F120)</f>
        <v>1</v>
      </c>
      <c r="F254" s="27">
        <f>IF(ISBLANK(E120), "", 1-E120)</f>
        <v>1</v>
      </c>
      <c r="G254" s="13" t="b">
        <f>G119</f>
        <v>1</v>
      </c>
      <c r="H254" s="13" t="b">
        <f>H119</f>
        <v>1</v>
      </c>
      <c r="I254" s="13" t="b">
        <f>I119</f>
        <v>1</v>
      </c>
      <c r="J254" s="33" t="b">
        <f t="shared" si="129"/>
        <v>1</v>
      </c>
      <c r="K254" s="2"/>
    </row>
    <row r="255" spans="1:11" hidden="1" x14ac:dyDescent="0.25">
      <c r="A255" s="14"/>
      <c r="B255" s="15" t="s">
        <v>176</v>
      </c>
      <c r="C255" s="15" t="s">
        <v>7</v>
      </c>
      <c r="D255" s="15" t="s">
        <v>7</v>
      </c>
      <c r="E255" s="27">
        <f>IF(ISBLANK(F118),"",1-F118)</f>
        <v>0.95799999999999996</v>
      </c>
      <c r="F255" s="27">
        <f>IF(ISBLANK(E118), "", 1-E118)</f>
        <v>0.95799999999999996</v>
      </c>
      <c r="G255" s="13" t="b">
        <f>G117</f>
        <v>1</v>
      </c>
      <c r="H255" s="13" t="b">
        <f>H117</f>
        <v>1</v>
      </c>
      <c r="I255" s="13" t="b">
        <f>I117</f>
        <v>1</v>
      </c>
      <c r="J255" s="33" t="b">
        <f t="shared" si="129"/>
        <v>1</v>
      </c>
      <c r="K255" s="2"/>
    </row>
    <row r="256" spans="1:11" hidden="1" x14ac:dyDescent="0.25">
      <c r="A256" s="14"/>
      <c r="B256" s="15" t="s">
        <v>176</v>
      </c>
      <c r="C256" s="15" t="s">
        <v>10</v>
      </c>
      <c r="D256" s="15" t="s">
        <v>10</v>
      </c>
      <c r="E256" s="27">
        <f>IF(ISBLANK(F116),"",1-F116)</f>
        <v>0.95799999999999996</v>
      </c>
      <c r="F256" s="27">
        <f>IF(ISBLANK(E116), "", 1-E116)</f>
        <v>0.95799999999999996</v>
      </c>
      <c r="G256" s="13" t="b">
        <f>G115</f>
        <v>1</v>
      </c>
      <c r="H256" s="13" t="b">
        <f>H115</f>
        <v>1</v>
      </c>
      <c r="I256" s="13" t="b">
        <f>I115</f>
        <v>1</v>
      </c>
      <c r="J256" s="33" t="b">
        <f t="shared" si="129"/>
        <v>1</v>
      </c>
      <c r="K256" s="2"/>
    </row>
    <row r="257" spans="1:11" hidden="1" x14ac:dyDescent="0.25">
      <c r="A257" s="14"/>
      <c r="B257" s="15" t="s">
        <v>176</v>
      </c>
      <c r="C257" s="15" t="s">
        <v>5</v>
      </c>
      <c r="D257" s="15" t="s">
        <v>5</v>
      </c>
      <c r="E257" s="27">
        <f>IF(ISBLANK(F114),"",1-F114)</f>
        <v>0.95799999999999996</v>
      </c>
      <c r="F257" s="27">
        <f>IF(ISBLANK(E114), "", 1-E114)</f>
        <v>0.95799999999999996</v>
      </c>
      <c r="G257" s="13" t="b">
        <f>G113</f>
        <v>1</v>
      </c>
      <c r="H257" s="13" t="b">
        <f>H113</f>
        <v>1</v>
      </c>
      <c r="I257" s="13" t="b">
        <f>I113</f>
        <v>1</v>
      </c>
      <c r="J257" s="33" t="b">
        <f t="shared" si="129"/>
        <v>1</v>
      </c>
      <c r="K257" s="2"/>
    </row>
    <row r="258" spans="1:11" hidden="1" x14ac:dyDescent="0.25">
      <c r="A258" s="14"/>
      <c r="B258" s="15" t="s">
        <v>176</v>
      </c>
      <c r="C258" s="15" t="s">
        <v>3</v>
      </c>
      <c r="D258" s="15" t="s">
        <v>3</v>
      </c>
      <c r="E258" s="27">
        <f>IF(ISBLANK(F112),"",1-F112)</f>
        <v>0.95799999999999996</v>
      </c>
      <c r="F258" s="27">
        <f>IF(ISBLANK(E112), "", 1-E112)</f>
        <v>0.95799999999999996</v>
      </c>
      <c r="G258" s="13" t="b">
        <f>G111</f>
        <v>1</v>
      </c>
      <c r="H258" s="13" t="b">
        <f>H111</f>
        <v>1</v>
      </c>
      <c r="I258" s="13" t="b">
        <f>I111</f>
        <v>1</v>
      </c>
      <c r="J258" s="33" t="b">
        <f t="shared" si="129"/>
        <v>1</v>
      </c>
      <c r="K258" s="2"/>
    </row>
    <row r="259" spans="1:11" hidden="1" x14ac:dyDescent="0.25">
      <c r="A259" s="14"/>
      <c r="B259" s="15" t="s">
        <v>176</v>
      </c>
      <c r="C259" s="15" t="s">
        <v>24</v>
      </c>
      <c r="D259" s="15" t="s">
        <v>24</v>
      </c>
      <c r="E259" s="27">
        <f>IF(ISBLANK(F136),"",1-F136)</f>
        <v>1</v>
      </c>
      <c r="F259" s="27">
        <f>IF(ISBLANK(E136), "", 1-E136)</f>
        <v>1</v>
      </c>
      <c r="G259" s="13" t="b">
        <f>G135</f>
        <v>1</v>
      </c>
      <c r="H259" s="13" t="b">
        <f>H135</f>
        <v>1</v>
      </c>
      <c r="I259" s="13" t="b">
        <f>I135</f>
        <v>1</v>
      </c>
      <c r="J259" s="33" t="b">
        <f t="shared" si="129"/>
        <v>1</v>
      </c>
      <c r="K259" s="2"/>
    </row>
    <row r="260" spans="1:11" hidden="1" x14ac:dyDescent="0.25">
      <c r="A260" s="14"/>
      <c r="B260" s="15" t="s">
        <v>176</v>
      </c>
      <c r="C260" s="15" t="s">
        <v>14</v>
      </c>
      <c r="D260" s="15" t="s">
        <v>14</v>
      </c>
      <c r="E260" s="27">
        <f>IF(ISBLANK(F158),"",1-F158)</f>
        <v>0.98619999999999997</v>
      </c>
      <c r="F260" s="27">
        <f>IF(ISBLANK(E158), "", 1-E158)</f>
        <v>0.98619999999999997</v>
      </c>
      <c r="G260" s="13" t="b">
        <f>G157</f>
        <v>1</v>
      </c>
      <c r="H260" s="13" t="b">
        <f>H157</f>
        <v>1</v>
      </c>
      <c r="I260" s="13" t="b">
        <f>I157</f>
        <v>1</v>
      </c>
      <c r="J260" s="33" t="b">
        <f t="shared" si="129"/>
        <v>1</v>
      </c>
      <c r="K260" s="2"/>
    </row>
    <row r="261" spans="1:11" hidden="1" x14ac:dyDescent="0.25">
      <c r="A261" s="17"/>
      <c r="B261" s="18" t="s">
        <v>176</v>
      </c>
      <c r="C261" s="18" t="s">
        <v>13</v>
      </c>
      <c r="D261" s="18" t="s">
        <v>13</v>
      </c>
      <c r="E261" s="28">
        <f>IF(ISBLANK(F139),"",1-F139)</f>
        <v>1</v>
      </c>
      <c r="F261" s="28">
        <f>IF(ISBLANK(E139), "", 1-E139)</f>
        <v>1</v>
      </c>
      <c r="G261" s="19" t="b">
        <f>G138</f>
        <v>1</v>
      </c>
      <c r="H261" s="19" t="b">
        <f>H138</f>
        <v>1</v>
      </c>
      <c r="I261" s="19" t="b">
        <f>I138</f>
        <v>1</v>
      </c>
      <c r="J261" s="34" t="b">
        <f t="shared" si="129"/>
        <v>1</v>
      </c>
      <c r="K261" s="3"/>
    </row>
  </sheetData>
  <sheetProtection selectLockedCells="1"/>
  <conditionalFormatting sqref="G172:H172">
    <cfRule type="containsText" dxfId="103" priority="424" operator="containsText" text="TRUE">
      <formula>NOT(ISERROR(SEARCH("TRUE",G172)))</formula>
    </cfRule>
    <cfRule type="containsText" dxfId="102" priority="425" operator="containsText" text="FALSE">
      <formula>NOT(ISERROR(SEARCH("FALSE",G172)))</formula>
    </cfRule>
  </conditionalFormatting>
  <conditionalFormatting sqref="G4:J4">
    <cfRule type="containsText" dxfId="101" priority="359" operator="containsText" text="FALSE">
      <formula>NOT(ISERROR(SEARCH("FALSE",G4)))</formula>
    </cfRule>
    <cfRule type="containsText" dxfId="100" priority="358" operator="containsText" text="TRUE">
      <formula>NOT(ISERROR(SEARCH("TRUE",G4)))</formula>
    </cfRule>
  </conditionalFormatting>
  <conditionalFormatting sqref="G6:J6">
    <cfRule type="containsText" dxfId="99" priority="212" operator="containsText" text="TRUE">
      <formula>NOT(ISERROR(SEARCH("TRUE",G6)))</formula>
    </cfRule>
    <cfRule type="containsText" dxfId="98" priority="213" operator="containsText" text="FALSE">
      <formula>NOT(ISERROR(SEARCH("FALSE",G6)))</formula>
    </cfRule>
  </conditionalFormatting>
  <conditionalFormatting sqref="G8:J8">
    <cfRule type="containsText" dxfId="97" priority="107" operator="containsText" text="FALSE">
      <formula>NOT(ISERROR(SEARCH("FALSE",G8)))</formula>
    </cfRule>
    <cfRule type="containsText" dxfId="96" priority="106" operator="containsText" text="TRUE">
      <formula>NOT(ISERROR(SEARCH("TRUE",G8)))</formula>
    </cfRule>
  </conditionalFormatting>
  <conditionalFormatting sqref="G10:J10">
    <cfRule type="containsText" dxfId="95" priority="59" operator="containsText" text="FALSE">
      <formula>NOT(ISERROR(SEARCH("FALSE",G10)))</formula>
    </cfRule>
    <cfRule type="containsText" dxfId="94" priority="58" operator="containsText" text="TRUE">
      <formula>NOT(ISERROR(SEARCH("TRUE",G10)))</formula>
    </cfRule>
  </conditionalFormatting>
  <conditionalFormatting sqref="G17:J17">
    <cfRule type="containsText" dxfId="93" priority="54" operator="containsText" text="TRUE">
      <formula>NOT(ISERROR(SEARCH("TRUE",G17)))</formula>
    </cfRule>
    <cfRule type="containsText" dxfId="92" priority="55" operator="containsText" text="FALSE">
      <formula>NOT(ISERROR(SEARCH("FALSE",G17)))</formula>
    </cfRule>
  </conditionalFormatting>
  <conditionalFormatting sqref="G25:J25">
    <cfRule type="containsText" dxfId="91" priority="52" operator="containsText" text="TRUE">
      <formula>NOT(ISERROR(SEARCH("TRUE",G25)))</formula>
    </cfRule>
    <cfRule type="containsText" dxfId="90" priority="53" operator="containsText" text="FALSE">
      <formula>NOT(ISERROR(SEARCH("FALSE",G25)))</formula>
    </cfRule>
  </conditionalFormatting>
  <conditionalFormatting sqref="G29:J29">
    <cfRule type="containsText" dxfId="89" priority="104" operator="containsText" text="TRUE">
      <formula>NOT(ISERROR(SEARCH("TRUE",G29)))</formula>
    </cfRule>
    <cfRule type="containsText" dxfId="88" priority="105" operator="containsText" text="FALSE">
      <formula>NOT(ISERROR(SEARCH("FALSE",G29)))</formula>
    </cfRule>
  </conditionalFormatting>
  <conditionalFormatting sqref="G31:J31">
    <cfRule type="containsText" dxfId="87" priority="93" operator="containsText" text="FALSE">
      <formula>NOT(ISERROR(SEARCH("FALSE",G31)))</formula>
    </cfRule>
    <cfRule type="containsText" dxfId="86" priority="92" operator="containsText" text="TRUE">
      <formula>NOT(ISERROR(SEARCH("TRUE",G31)))</formula>
    </cfRule>
  </conditionalFormatting>
  <conditionalFormatting sqref="G34:J34">
    <cfRule type="containsText" dxfId="85" priority="103" operator="containsText" text="FALSE">
      <formula>NOT(ISERROR(SEARCH("FALSE",G34)))</formula>
    </cfRule>
    <cfRule type="containsText" dxfId="84" priority="102" operator="containsText" text="TRUE">
      <formula>NOT(ISERROR(SEARCH("TRUE",G34)))</formula>
    </cfRule>
  </conditionalFormatting>
  <conditionalFormatting sqref="G36:J36">
    <cfRule type="containsText" dxfId="83" priority="51" operator="containsText" text="FALSE">
      <formula>NOT(ISERROR(SEARCH("FALSE",G36)))</formula>
    </cfRule>
    <cfRule type="containsText" dxfId="82" priority="50" operator="containsText" text="TRUE">
      <formula>NOT(ISERROR(SEARCH("TRUE",G36)))</formula>
    </cfRule>
  </conditionalFormatting>
  <conditionalFormatting sqref="G41:J41">
    <cfRule type="containsText" dxfId="81" priority="100" operator="containsText" text="TRUE">
      <formula>NOT(ISERROR(SEARCH("TRUE",G41)))</formula>
    </cfRule>
    <cfRule type="containsText" dxfId="80" priority="101" operator="containsText" text="FALSE">
      <formula>NOT(ISERROR(SEARCH("FALSE",G41)))</formula>
    </cfRule>
  </conditionalFormatting>
  <conditionalFormatting sqref="G43:J43">
    <cfRule type="containsText" dxfId="79" priority="49" operator="containsText" text="FALSE">
      <formula>NOT(ISERROR(SEARCH("FALSE",G43)))</formula>
    </cfRule>
    <cfRule type="containsText" dxfId="78" priority="48" operator="containsText" text="TRUE">
      <formula>NOT(ISERROR(SEARCH("TRUE",G43)))</formula>
    </cfRule>
  </conditionalFormatting>
  <conditionalFormatting sqref="G49:J49">
    <cfRule type="containsText" dxfId="77" priority="43" operator="containsText" text="FALSE">
      <formula>NOT(ISERROR(SEARCH("FALSE",G49)))</formula>
    </cfRule>
    <cfRule type="containsText" dxfId="76" priority="42" operator="containsText" text="TRUE">
      <formula>NOT(ISERROR(SEARCH("TRUE",G49)))</formula>
    </cfRule>
  </conditionalFormatting>
  <conditionalFormatting sqref="G54:J54">
    <cfRule type="containsText" dxfId="75" priority="40" operator="containsText" text="TRUE">
      <formula>NOT(ISERROR(SEARCH("TRUE",G54)))</formula>
    </cfRule>
    <cfRule type="containsText" dxfId="74" priority="41" operator="containsText" text="FALSE">
      <formula>NOT(ISERROR(SEARCH("FALSE",G54)))</formula>
    </cfRule>
  </conditionalFormatting>
  <conditionalFormatting sqref="G59:J59">
    <cfRule type="containsText" dxfId="73" priority="30" operator="containsText" text="TRUE">
      <formula>NOT(ISERROR(SEARCH("TRUE",G59)))</formula>
    </cfRule>
    <cfRule type="containsText" dxfId="72" priority="31" operator="containsText" text="FALSE">
      <formula>NOT(ISERROR(SEARCH("FALSE",G59)))</formula>
    </cfRule>
  </conditionalFormatting>
  <conditionalFormatting sqref="G63:J63">
    <cfRule type="containsText" dxfId="71" priority="26" operator="containsText" text="TRUE">
      <formula>NOT(ISERROR(SEARCH("TRUE",G63)))</formula>
    </cfRule>
    <cfRule type="containsText" dxfId="70" priority="27" operator="containsText" text="FALSE">
      <formula>NOT(ISERROR(SEARCH("FALSE",G63)))</formula>
    </cfRule>
  </conditionalFormatting>
  <conditionalFormatting sqref="G67:J67">
    <cfRule type="containsText" dxfId="69" priority="24" operator="containsText" text="TRUE">
      <formula>NOT(ISERROR(SEARCH("TRUE",G67)))</formula>
    </cfRule>
    <cfRule type="containsText" dxfId="68" priority="25" operator="containsText" text="FALSE">
      <formula>NOT(ISERROR(SEARCH("FALSE",G67)))</formula>
    </cfRule>
  </conditionalFormatting>
  <conditionalFormatting sqref="G71:J71">
    <cfRule type="containsText" dxfId="67" priority="20" operator="containsText" text="TRUE">
      <formula>NOT(ISERROR(SEARCH("TRUE",G71)))</formula>
    </cfRule>
    <cfRule type="containsText" dxfId="66" priority="21" operator="containsText" text="FALSE">
      <formula>NOT(ISERROR(SEARCH("FALSE",G71)))</formula>
    </cfRule>
  </conditionalFormatting>
  <conditionalFormatting sqref="G75:J75">
    <cfRule type="containsText" dxfId="65" priority="19" operator="containsText" text="FALSE">
      <formula>NOT(ISERROR(SEARCH("FALSE",G75)))</formula>
    </cfRule>
    <cfRule type="containsText" dxfId="64" priority="18" operator="containsText" text="TRUE">
      <formula>NOT(ISERROR(SEARCH("TRUE",G75)))</formula>
    </cfRule>
  </conditionalFormatting>
  <conditionalFormatting sqref="G81:J81">
    <cfRule type="containsText" dxfId="63" priority="17" operator="containsText" text="FALSE">
      <formula>NOT(ISERROR(SEARCH("FALSE",G81)))</formula>
    </cfRule>
    <cfRule type="containsText" dxfId="62" priority="16" operator="containsText" text="TRUE">
      <formula>NOT(ISERROR(SEARCH("TRUE",G81)))</formula>
    </cfRule>
  </conditionalFormatting>
  <conditionalFormatting sqref="G85:J85">
    <cfRule type="containsText" dxfId="61" priority="90" operator="containsText" text="TRUE">
      <formula>NOT(ISERROR(SEARCH("TRUE",G85)))</formula>
    </cfRule>
    <cfRule type="containsText" dxfId="60" priority="91" operator="containsText" text="FALSE">
      <formula>NOT(ISERROR(SEARCH("FALSE",G85)))</formula>
    </cfRule>
  </conditionalFormatting>
  <conditionalFormatting sqref="G87:J87">
    <cfRule type="containsText" dxfId="59" priority="46" operator="containsText" text="TRUE">
      <formula>NOT(ISERROR(SEARCH("TRUE",G87)))</formula>
    </cfRule>
    <cfRule type="containsText" dxfId="58" priority="47" operator="containsText" text="FALSE">
      <formula>NOT(ISERROR(SEARCH("FALSE",G87)))</formula>
    </cfRule>
  </conditionalFormatting>
  <conditionalFormatting sqref="G92:J92">
    <cfRule type="containsText" dxfId="57" priority="39" operator="containsText" text="FALSE">
      <formula>NOT(ISERROR(SEARCH("FALSE",G92)))</formula>
    </cfRule>
    <cfRule type="containsText" dxfId="56" priority="38" operator="containsText" text="TRUE">
      <formula>NOT(ISERROR(SEARCH("TRUE",G92)))</formula>
    </cfRule>
  </conditionalFormatting>
  <conditionalFormatting sqref="G97:J97">
    <cfRule type="containsText" dxfId="55" priority="98" operator="containsText" text="TRUE">
      <formula>NOT(ISERROR(SEARCH("TRUE",G97)))</formula>
    </cfRule>
    <cfRule type="containsText" dxfId="54" priority="99" operator="containsText" text="FALSE">
      <formula>NOT(ISERROR(SEARCH("FALSE",G97)))</formula>
    </cfRule>
  </conditionalFormatting>
  <conditionalFormatting sqref="G99:J99">
    <cfRule type="containsText" dxfId="53" priority="37" operator="containsText" text="FALSE">
      <formula>NOT(ISERROR(SEARCH("FALSE",G99)))</formula>
    </cfRule>
    <cfRule type="containsText" dxfId="52" priority="36" operator="containsText" text="TRUE">
      <formula>NOT(ISERROR(SEARCH("TRUE",G99)))</formula>
    </cfRule>
  </conditionalFormatting>
  <conditionalFormatting sqref="G103:J103">
    <cfRule type="containsText" dxfId="51" priority="35" operator="containsText" text="FALSE">
      <formula>NOT(ISERROR(SEARCH("FALSE",G103)))</formula>
    </cfRule>
    <cfRule type="containsText" dxfId="50" priority="34" operator="containsText" text="TRUE">
      <formula>NOT(ISERROR(SEARCH("TRUE",G103)))</formula>
    </cfRule>
  </conditionalFormatting>
  <conditionalFormatting sqref="G108:J108">
    <cfRule type="containsText" dxfId="49" priority="97" operator="containsText" text="FALSE">
      <formula>NOT(ISERROR(SEARCH("FALSE",G108)))</formula>
    </cfRule>
    <cfRule type="containsText" dxfId="48" priority="96" operator="containsText" text="TRUE">
      <formula>NOT(ISERROR(SEARCH("TRUE",G108)))</formula>
    </cfRule>
  </conditionalFormatting>
  <conditionalFormatting sqref="G111:J111">
    <cfRule type="containsText" dxfId="47" priority="88" operator="containsText" text="TRUE">
      <formula>NOT(ISERROR(SEARCH("TRUE",G111)))</formula>
    </cfRule>
    <cfRule type="containsText" dxfId="46" priority="89" operator="containsText" text="FALSE">
      <formula>NOT(ISERROR(SEARCH("FALSE",G111)))</formula>
    </cfRule>
  </conditionalFormatting>
  <conditionalFormatting sqref="G113:J113">
    <cfRule type="containsText" dxfId="45" priority="86" operator="containsText" text="TRUE">
      <formula>NOT(ISERROR(SEARCH("TRUE",G113)))</formula>
    </cfRule>
    <cfRule type="containsText" dxfId="44" priority="87" operator="containsText" text="FALSE">
      <formula>NOT(ISERROR(SEARCH("FALSE",G113)))</formula>
    </cfRule>
  </conditionalFormatting>
  <conditionalFormatting sqref="G115:J115">
    <cfRule type="containsText" dxfId="43" priority="84" operator="containsText" text="TRUE">
      <formula>NOT(ISERROR(SEARCH("TRUE",G115)))</formula>
    </cfRule>
    <cfRule type="containsText" dxfId="42" priority="85" operator="containsText" text="FALSE">
      <formula>NOT(ISERROR(SEARCH("FALSE",G115)))</formula>
    </cfRule>
  </conditionalFormatting>
  <conditionalFormatting sqref="G117:J117">
    <cfRule type="containsText" dxfId="41" priority="82" operator="containsText" text="TRUE">
      <formula>NOT(ISERROR(SEARCH("TRUE",G117)))</formula>
    </cfRule>
    <cfRule type="containsText" dxfId="40" priority="83" operator="containsText" text="FALSE">
      <formula>NOT(ISERROR(SEARCH("FALSE",G117)))</formula>
    </cfRule>
  </conditionalFormatting>
  <conditionalFormatting sqref="G119:J119">
    <cfRule type="containsText" dxfId="39" priority="80" operator="containsText" text="TRUE">
      <formula>NOT(ISERROR(SEARCH("TRUE",G119)))</formula>
    </cfRule>
    <cfRule type="containsText" dxfId="38" priority="81" operator="containsText" text="FALSE">
      <formula>NOT(ISERROR(SEARCH("FALSE",G119)))</formula>
    </cfRule>
  </conditionalFormatting>
  <conditionalFormatting sqref="G121:J121">
    <cfRule type="containsText" dxfId="37" priority="78" operator="containsText" text="TRUE">
      <formula>NOT(ISERROR(SEARCH("TRUE",G121)))</formula>
    </cfRule>
    <cfRule type="containsText" dxfId="36" priority="79" operator="containsText" text="FALSE">
      <formula>NOT(ISERROR(SEARCH("FALSE",G121)))</formula>
    </cfRule>
  </conditionalFormatting>
  <conditionalFormatting sqref="G123:J123">
    <cfRule type="containsText" dxfId="35" priority="77" operator="containsText" text="FALSE">
      <formula>NOT(ISERROR(SEARCH("FALSE",G123)))</formula>
    </cfRule>
    <cfRule type="containsText" dxfId="34" priority="76" operator="containsText" text="TRUE">
      <formula>NOT(ISERROR(SEARCH("TRUE",G123)))</formula>
    </cfRule>
  </conditionalFormatting>
  <conditionalFormatting sqref="G125:J125">
    <cfRule type="containsText" dxfId="33" priority="75" operator="containsText" text="FALSE">
      <formula>NOT(ISERROR(SEARCH("FALSE",G125)))</formula>
    </cfRule>
    <cfRule type="containsText" dxfId="32" priority="74" operator="containsText" text="TRUE">
      <formula>NOT(ISERROR(SEARCH("TRUE",G125)))</formula>
    </cfRule>
  </conditionalFormatting>
  <conditionalFormatting sqref="G127:J127">
    <cfRule type="containsText" dxfId="31" priority="72" operator="containsText" text="TRUE">
      <formula>NOT(ISERROR(SEARCH("TRUE",G127)))</formula>
    </cfRule>
    <cfRule type="containsText" dxfId="30" priority="73" operator="containsText" text="FALSE">
      <formula>NOT(ISERROR(SEARCH("FALSE",G127)))</formula>
    </cfRule>
  </conditionalFormatting>
  <conditionalFormatting sqref="G129:J129">
    <cfRule type="containsText" dxfId="29" priority="70" operator="containsText" text="TRUE">
      <formula>NOT(ISERROR(SEARCH("TRUE",G129)))</formula>
    </cfRule>
    <cfRule type="containsText" dxfId="28" priority="71" operator="containsText" text="FALSE">
      <formula>NOT(ISERROR(SEARCH("FALSE",G129)))</formula>
    </cfRule>
  </conditionalFormatting>
  <conditionalFormatting sqref="G131:J131">
    <cfRule type="containsText" dxfId="27" priority="68" operator="containsText" text="TRUE">
      <formula>NOT(ISERROR(SEARCH("TRUE",G131)))</formula>
    </cfRule>
    <cfRule type="containsText" dxfId="26" priority="69" operator="containsText" text="FALSE">
      <formula>NOT(ISERROR(SEARCH("FALSE",G131)))</formula>
    </cfRule>
  </conditionalFormatting>
  <conditionalFormatting sqref="G133:J133">
    <cfRule type="containsText" dxfId="25" priority="66" operator="containsText" text="TRUE">
      <formula>NOT(ISERROR(SEARCH("TRUE",G133)))</formula>
    </cfRule>
    <cfRule type="containsText" dxfId="24" priority="67" operator="containsText" text="FALSE">
      <formula>NOT(ISERROR(SEARCH("FALSE",G133)))</formula>
    </cfRule>
  </conditionalFormatting>
  <conditionalFormatting sqref="G135:J135">
    <cfRule type="containsText" dxfId="23" priority="64" operator="containsText" text="TRUE">
      <formula>NOT(ISERROR(SEARCH("TRUE",G135)))</formula>
    </cfRule>
    <cfRule type="containsText" dxfId="22" priority="65" operator="containsText" text="FALSE">
      <formula>NOT(ISERROR(SEARCH("FALSE",G135)))</formula>
    </cfRule>
  </conditionalFormatting>
  <conditionalFormatting sqref="G138:J138">
    <cfRule type="containsText" dxfId="21" priority="63" operator="containsText" text="FALSE">
      <formula>NOT(ISERROR(SEARCH("FALSE",G138)))</formula>
    </cfRule>
    <cfRule type="containsText" dxfId="20" priority="62" operator="containsText" text="TRUE">
      <formula>NOT(ISERROR(SEARCH("TRUE",G138)))</formula>
    </cfRule>
  </conditionalFormatting>
  <conditionalFormatting sqref="G140:J140">
    <cfRule type="containsText" dxfId="19" priority="15" operator="containsText" text="FALSE">
      <formula>NOT(ISERROR(SEARCH("FALSE",G140)))</formula>
    </cfRule>
    <cfRule type="containsText" dxfId="18" priority="14" operator="containsText" text="TRUE">
      <formula>NOT(ISERROR(SEARCH("TRUE",G140)))</formula>
    </cfRule>
  </conditionalFormatting>
  <conditionalFormatting sqref="G146:J146">
    <cfRule type="containsText" dxfId="17" priority="12" operator="containsText" text="TRUE">
      <formula>NOT(ISERROR(SEARCH("TRUE",G146)))</formula>
    </cfRule>
    <cfRule type="containsText" dxfId="16" priority="13" operator="containsText" text="FALSE">
      <formula>NOT(ISERROR(SEARCH("FALSE",G146)))</formula>
    </cfRule>
  </conditionalFormatting>
  <conditionalFormatting sqref="G151:J151">
    <cfRule type="containsText" dxfId="15" priority="11" operator="containsText" text="FALSE">
      <formula>NOT(ISERROR(SEARCH("FALSE",G151)))</formula>
    </cfRule>
    <cfRule type="containsText" dxfId="14" priority="10" operator="containsText" text="TRUE">
      <formula>NOT(ISERROR(SEARCH("TRUE",G151)))</formula>
    </cfRule>
  </conditionalFormatting>
  <conditionalFormatting sqref="G157:J157">
    <cfRule type="containsText" dxfId="13" priority="61" operator="containsText" text="FALSE">
      <formula>NOT(ISERROR(SEARCH("FALSE",G157)))</formula>
    </cfRule>
    <cfRule type="containsText" dxfId="12" priority="60" operator="containsText" text="TRUE">
      <formula>NOT(ISERROR(SEARCH("TRUE",G157)))</formula>
    </cfRule>
  </conditionalFormatting>
  <conditionalFormatting sqref="G159:J159">
    <cfRule type="containsText" dxfId="11" priority="94" operator="containsText" text="TRUE">
      <formula>NOT(ISERROR(SEARCH("TRUE",G159)))</formula>
    </cfRule>
    <cfRule type="containsText" dxfId="10" priority="95" operator="containsText" text="FALSE">
      <formula>NOT(ISERROR(SEARCH("FALSE",G159)))</formula>
    </cfRule>
  </conditionalFormatting>
  <conditionalFormatting sqref="G161:J161">
    <cfRule type="containsText" dxfId="9" priority="32" operator="containsText" text="TRUE">
      <formula>NOT(ISERROR(SEARCH("TRUE",G161)))</formula>
    </cfRule>
    <cfRule type="containsText" dxfId="8" priority="33" operator="containsText" text="FALSE">
      <formula>NOT(ISERROR(SEARCH("FALSE",G161)))</formula>
    </cfRule>
  </conditionalFormatting>
  <conditionalFormatting sqref="G166:J166">
    <cfRule type="containsText" dxfId="7" priority="9" operator="containsText" text="FALSE">
      <formula>NOT(ISERROR(SEARCH("FALSE",G166)))</formula>
    </cfRule>
    <cfRule type="containsText" dxfId="6" priority="8" operator="containsText" text="TRUE">
      <formula>NOT(ISERROR(SEARCH("TRUE",G166)))</formula>
    </cfRule>
  </conditionalFormatting>
  <conditionalFormatting sqref="G172:J172">
    <cfRule type="containsText" dxfId="5" priority="7" operator="containsText" text="FALSE">
      <formula>NOT(ISERROR(SEARCH("FALSE",G172)))</formula>
    </cfRule>
    <cfRule type="containsText" dxfId="4" priority="6" operator="containsText" text="TRUE">
      <formula>NOT(ISERROR(SEARCH("TRUE",G172)))</formula>
    </cfRule>
  </conditionalFormatting>
  <conditionalFormatting sqref="G177:J177">
    <cfRule type="containsText" dxfId="3" priority="5" operator="containsText" text="FALSE">
      <formula>NOT(ISERROR(SEARCH("FALSE",G177)))</formula>
    </cfRule>
    <cfRule type="containsText" dxfId="2" priority="4" operator="containsText" text="TRUE">
      <formula>NOT(ISERROR(SEARCH("TRUE",G177)))</formula>
    </cfRule>
  </conditionalFormatting>
  <conditionalFormatting sqref="G182:J182">
    <cfRule type="containsText" dxfId="1" priority="3" operator="containsText" text="FALSE">
      <formula>NOT(ISERROR(SEARCH("FALSE",G182)))</formula>
    </cfRule>
    <cfRule type="containsText" dxfId="0" priority="2" operator="containsText" text="TRUE">
      <formula>NOT(ISERROR(SEARCH("TRUE",G182)))</formula>
    </cfRule>
  </conditionalFormatting>
  <dataValidations count="6">
    <dataValidation type="decimal" allowBlank="1" showInputMessage="1" showErrorMessage="1" sqref="E3:E4 E235 E216:E218 E188:E199" xr:uid="{10276CCE-430C-4FD2-A09B-91085B8303A6}">
      <formula1>0</formula1>
      <formula2>MIN(1,F3,#REF!)</formula2>
    </dataValidation>
    <dataValidation type="decimal" allowBlank="1" showInputMessage="1" showErrorMessage="1" sqref="F217:F218" xr:uid="{7F3421A4-F9B8-4ED2-872C-77F88E6ED299}">
      <formula1>0</formula1>
      <formula2>MIN(1,#REF!,#REF!)</formula2>
    </dataValidation>
    <dataValidation type="decimal" allowBlank="1" showInputMessage="1" showErrorMessage="1" sqref="F3:F4 F235 F216 F188:F199" xr:uid="{FC12BB4A-2705-4D2D-939B-BE8EFF80B974}">
      <formula1>MAX(0,E3,#REF!)</formula1>
      <formula2>1</formula2>
    </dataValidation>
    <dataValidation type="decimal" allowBlank="1" showInputMessage="1" showErrorMessage="1" sqref="E200:F215 E219:F223" xr:uid="{D13D2B8F-01D3-491E-8CD7-56CC971A9F57}">
      <formula1>MAX(C200,0)</formula1>
      <formula2>MIN(D200,1)</formula2>
    </dataValidation>
    <dataValidation type="decimal" allowBlank="1" showInputMessage="1" showErrorMessage="1" sqref="F72:F74 F5 F60:F62 F64:F66 F68:F70 E5:E31 F109 F86 F98 F104:F107 F100:F102 F112:F136 F158 F139 F141:F145 F147:F156 F82:F84 E186:F187 F160 F88:F90 E33:E166 F35 F37:F40 F42" xr:uid="{27ACB80C-419B-4F5F-95AF-D6A18C997465}">
      <formula1>0</formula1>
      <formula2>MIN(1,F5)</formula2>
    </dataValidation>
    <dataValidation type="decimal" allowBlank="1" showInputMessage="1" showErrorMessage="1" sqref="F85 F63 F67 F71 E32 F91:F97 F161:F185 F103 F99 F108 F110:F111 F137:F138 F140 F146 F157 E167:E185 F159 F87 F75:F81 F6:F34 F36 F41 F43:F59" xr:uid="{9D93F59D-063F-41A9-A14E-A30E3113BD04}">
      <formula1>MAX(0,D6)</formula1>
      <formula2>1</formula2>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D9CC-0156-4991-A3D7-BA7E940BC90C}">
  <sheetPr codeName="Sheet3"/>
  <dimension ref="A1:A2"/>
  <sheetViews>
    <sheetView workbookViewId="0">
      <selection activeCell="A3" sqref="A3"/>
    </sheetView>
  </sheetViews>
  <sheetFormatPr defaultRowHeight="15" x14ac:dyDescent="0.25"/>
  <sheetData>
    <row r="1" spans="1:1" x14ac:dyDescent="0.25">
      <c r="A1" t="b">
        <f>TRUE</f>
        <v>1</v>
      </c>
    </row>
    <row r="2" spans="1:1" x14ac:dyDescent="0.25">
      <c r="A2" t="b">
        <f>FALSE</f>
        <v>0</v>
      </c>
    </row>
  </sheetData>
  <sheetProtection algorithmName="SHA-512" hashValue="EH4c50uSIJVItCIA904zZL6Xww6GJ3TsdY8SKQ76/Lt+MgZA7jQYdPUkLE8295byO3fJkh+hfV/3dhjyAW4xBQ==" saltValue="+2dCHDNM7emC+/xKLsVEZw==" spinCount="100000" sheet="1" objects="1" scenarios="1" select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Team Document" ma:contentTypeID="0x010100A35317DCC28344A7B82488658A034A5C0100D76761BD4D36FC4FB8CB53F1E17FD274" ma:contentTypeVersion="11" ma:contentTypeDescription=" " ma:contentTypeScope="" ma:versionID="aba43e40c159e5838c3d08d426fbbad8">
  <xsd:schema xmlns:xsd="http://www.w3.org/2001/XMLSchema" xmlns:xs="http://www.w3.org/2001/XMLSchema" xmlns:p="http://schemas.microsoft.com/office/2006/metadata/properties" xmlns:ns2="2fe1a0e6-bb16-4c21-b94f-a074a051f9a1" xmlns:ns3="2f6a910d-138e-42c1-8e8a-320c1b7cf3f7" xmlns:ns5="2657d90e-98ad-4863-9cfa-14679c76bdf4" targetNamespace="http://schemas.microsoft.com/office/2006/metadata/properties" ma:root="true" ma:fieldsID="216f6eb811d90e57f960be899a6f6e48" ns2:_="" ns3:_="" ns5:_="">
    <xsd:import namespace="2fe1a0e6-bb16-4c21-b94f-a074a051f9a1"/>
    <xsd:import namespace="2f6a910d-138e-42c1-8e8a-320c1b7cf3f7"/>
    <xsd:import namespace="2657d90e-98ad-4863-9cfa-14679c76bdf4"/>
    <xsd:element name="properties">
      <xsd:complexType>
        <xsd:sequence>
          <xsd:element name="documentManagement">
            <xsd:complexType>
              <xsd:all>
                <xsd:element ref="ns2:_dlc_DocId" minOccurs="0"/>
                <xsd:element ref="ns2:_dlc_DocIdUrl" minOccurs="0"/>
                <xsd:element ref="ns2:_dlc_DocIdPersistId" minOccurs="0"/>
                <xsd:element ref="ns3:TNOC_ClusterName" minOccurs="0"/>
                <xsd:element ref="ns3:TNOC_ClusterId" minOccurs="0"/>
                <xsd:element ref="ns2:h15fbb78f4cb41d290e72f301ea2865f" minOccurs="0"/>
                <xsd:element ref="ns2:TaxCatchAll" minOccurs="0"/>
                <xsd:element ref="ns2:TaxCatchAllLabel" minOccurs="0"/>
                <xsd:element ref="ns2:n2a7a23bcc2241cb9261f9a914c7c1bb" minOccurs="0"/>
                <xsd:element ref="ns2:lca20d149a844688b6abf34073d5c21d" minOccurs="0"/>
                <xsd:element ref="ns2:bac4ab11065f4f6c809c820c57e320e5" minOccurs="0"/>
                <xsd:element ref="ns5:MediaServiceMetadata" minOccurs="0"/>
                <xsd:element ref="ns5:MediaServiceFastMetadata" minOccurs="0"/>
                <xsd:element ref="ns5:lcf76f155ced4ddcb4097134ff3c332f" minOccurs="0"/>
                <xsd:element ref="ns5:MediaServiceGenerationTime" minOccurs="0"/>
                <xsd:element ref="ns5:MediaServiceEventHashCode" minOccurs="0"/>
                <xsd:element ref="ns5:MediaServiceOCR" minOccurs="0"/>
                <xsd:element ref="ns5:MediaServiceObjectDetectorVersions" minOccurs="0"/>
                <xsd:element ref="ns5:MediaServiceSearchProperties" minOccurs="0"/>
                <xsd:element ref="ns5: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1a0e6-bb16-4c21-b94f-a074a051f9a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15fbb78f4cb41d290e72f301ea2865f" ma:index="13" nillable="true" ma:taxonomy="true" ma:internalName="h15fbb78f4cb41d290e72f301ea2865f" ma:taxonomyFieldName="TNOC_ClusterType" ma:displayName="Cluster type" ma:fieldId="{115fbb78-f4cb-41d2-90e7-2f301ea2865f}" ma:sspId="7378aa68-586f-4892-bb77-0985b40f41a6" ma:termSetId="e7feef8e-5ede-44cd-b7d5-7ed7dacef0b4"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3ce19812-dca2-411e-b857-9726e05739f7}" ma:internalName="TaxCatchAll" ma:showField="CatchAllData"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3ce19812-dca2-411e-b857-9726e05739f7}" ma:internalName="TaxCatchAllLabel" ma:readOnly="true" ma:showField="CatchAllDataLabel" ma:web="2fe1a0e6-bb16-4c21-b94f-a074a051f9a1">
      <xsd:complexType>
        <xsd:complexContent>
          <xsd:extension base="dms:MultiChoiceLookup">
            <xsd:sequence>
              <xsd:element name="Value" type="dms:Lookup" maxOccurs="unbounded" minOccurs="0" nillable="true"/>
            </xsd:sequence>
          </xsd:extension>
        </xsd:complexContent>
      </xsd:complexType>
    </xsd:element>
    <xsd:element name="n2a7a23bcc2241cb9261f9a914c7c1bb" ma:index="17" nillable="true" ma:taxonomy="true" ma:internalName="n2a7a23bcc2241cb9261f9a914c7c1bb" ma:taxonomyFieldName="TNOC_DocumentClassification" ma:displayName="Document classification" ma:fieldId="{72a7a23b-cc22-41cb-9261-f9a914c7c1bb}" ma:sspId="7378aa68-586f-4892-bb77-0985b40f41a6" ma:termSetId="ff8f31fd-7572-41dc-9fe4-bd4c6d280f39" ma:anchorId="00000000-0000-0000-0000-000000000000" ma:open="false" ma:isKeyword="false">
      <xsd:complexType>
        <xsd:sequence>
          <xsd:element ref="pc:Terms" minOccurs="0" maxOccurs="1"/>
        </xsd:sequence>
      </xsd:complexType>
    </xsd:element>
    <xsd:element name="lca20d149a844688b6abf34073d5c21d" ma:index="19" nillable="true" ma:taxonomy="true" ma:internalName="lca20d149a844688b6abf34073d5c21d" ma:taxonomyFieldName="TNOC_DocumentType" ma:displayName="Document type" ma:fieldId="{5ca20d14-9a84-4688-b6ab-f34073d5c21d}" ma:sspId="7378aa68-586f-4892-bb77-0985b40f41a6" ma:termSetId="e8a13a9e-c4f3-4184-b8d9-8210abad4948" ma:anchorId="00000000-0000-0000-0000-000000000000" ma:open="false" ma:isKeyword="false">
      <xsd:complexType>
        <xsd:sequence>
          <xsd:element ref="pc:Terms" minOccurs="0" maxOccurs="1"/>
        </xsd:sequence>
      </xsd:complexType>
    </xsd:element>
    <xsd:element name="bac4ab11065f4f6c809c820c57e320e5" ma:index="22" nillable="true" ma:taxonomy="true" ma:internalName="bac4ab11065f4f6c809c820c57e320e5" ma:taxonomyFieldName="TNOC_DocumentCategory" ma:displayName="Document category" ma:fieldId="{bac4ab11-065f-4f6c-809c-820c57e320e5}" ma:sspId="7378aa68-586f-4892-bb77-0985b40f41a6" ma:termSetId="94d42b6a-4155-4fa6-95e9-087bc306ceb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f6a910d-138e-42c1-8e8a-320c1b7cf3f7" elementFormDefault="qualified">
    <xsd:import namespace="http://schemas.microsoft.com/office/2006/documentManagement/types"/>
    <xsd:import namespace="http://schemas.microsoft.com/office/infopath/2007/PartnerControls"/>
    <xsd:element name="TNOC_ClusterName" ma:index="11" nillable="true" ma:displayName="Cluster name" ma:internalName="TNOC_ClusterName">
      <xsd:simpleType>
        <xsd:restriction base="dms:Text">
          <xsd:maxLength value="255"/>
        </xsd:restriction>
      </xsd:simpleType>
    </xsd:element>
    <xsd:element name="TNOC_ClusterId" ma:index="12" nillable="true" ma:displayName="Cluster ID" ma:internalName="TNOC_Clust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657d90e-98ad-4863-9cfa-14679c76bdf4"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7378aa68-586f-4892-bb77-0985b40f41a6" ma:termSetId="09814cd3-568e-fe90-9814-8d621ff8fb84" ma:anchorId="fba54fb3-c3e1-fe81-a776-ca4b69148c4d" ma:open="true" ma:isKeyword="false">
      <xsd:complexType>
        <xsd:sequence>
          <xsd:element ref="pc:Terms" minOccurs="0" maxOccurs="1"/>
        </xsd:sequence>
      </xsd:complex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ObjectDetectorVersions" ma:index="31" nillable="true" ma:displayName="MediaServiceObjectDetectorVersions" ma:hidden="true" ma:indexed="true" ma:internalName="MediaServiceObjectDetectorVersions"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MediaServiceDateTaken" ma:index="3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a20d149a844688b6abf34073d5c21d xmlns="2fe1a0e6-bb16-4c21-b94f-a074a051f9a1">
      <Terms xmlns="http://schemas.microsoft.com/office/infopath/2007/PartnerControls"/>
    </lca20d149a844688b6abf34073d5c21d>
    <bac4ab11065f4f6c809c820c57e320e5 xmlns="2fe1a0e6-bb16-4c21-b94f-a074a051f9a1">
      <Terms xmlns="http://schemas.microsoft.com/office/infopath/2007/PartnerControls"/>
    </bac4ab11065f4f6c809c820c57e320e5>
    <_dlc_DocId xmlns="2fe1a0e6-bb16-4c21-b94f-a074a051f9a1">QN2S33HXYJHE-208646548-3735</_dlc_DocId>
    <n2a7a23bcc2241cb9261f9a914c7c1bb xmlns="2fe1a0e6-bb16-4c21-b94f-a074a051f9a1">
      <Terms xmlns="http://schemas.microsoft.com/office/infopath/2007/PartnerControls">
        <TermInfo xmlns="http://schemas.microsoft.com/office/infopath/2007/PartnerControls">
          <TermName xmlns="http://schemas.microsoft.com/office/infopath/2007/PartnerControls">TNO Internal</TermName>
          <TermId xmlns="http://schemas.microsoft.com/office/infopath/2007/PartnerControls">1a23c89f-ef54-4907-86fd-8242403ff722</TermId>
        </TermInfo>
      </Terms>
    </n2a7a23bcc2241cb9261f9a914c7c1bb>
    <TNOC_ClusterName xmlns="2f6a910d-138e-42c1-8e8a-320c1b7cf3f7">plMFA MP accumulation model</TNOC_ClusterName>
    <_dlc_DocIdUrl xmlns="2fe1a0e6-bb16-4c21-b94f-a074a051f9a1">
      <Url>https://365tno.sharepoint.com/teams/T96967/_layouts/15/DocIdRedir.aspx?ID=QN2S33HXYJHE-208646548-3735</Url>
      <Description>QN2S33HXYJHE-208646548-3735</Description>
    </_dlc_DocIdUrl>
    <TNOC_ClusterId xmlns="2f6a910d-138e-42c1-8e8a-320c1b7cf3f7">T96967</TNOC_ClusterId>
    <h15fbb78f4cb41d290e72f301ea2865f xmlns="2fe1a0e6-bb16-4c21-b94f-a074a051f9a1">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c614ed86-6527-4042-aa9d-da80e2b69463</TermId>
        </TermInfo>
      </Terms>
    </h15fbb78f4cb41d290e72f301ea2865f>
    <lcf76f155ced4ddcb4097134ff3c332f xmlns="2657d90e-98ad-4863-9cfa-14679c76bdf4">
      <Terms xmlns="http://schemas.microsoft.com/office/infopath/2007/PartnerControls"/>
    </lcf76f155ced4ddcb4097134ff3c332f>
    <TaxCatchAll xmlns="2fe1a0e6-bb16-4c21-b94f-a074a051f9a1">
      <Value>5</Value>
      <Value>3</Value>
    </TaxCatchAl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43D9EAA-F97F-4A73-BD1E-5CAAC6D58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e1a0e6-bb16-4c21-b94f-a074a051f9a1"/>
    <ds:schemaRef ds:uri="2f6a910d-138e-42c1-8e8a-320c1b7cf3f7"/>
    <ds:schemaRef ds:uri="2657d90e-98ad-4863-9cfa-14679c76bd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7A3906A-3EAE-441A-9B4B-94DB183375E1}">
  <ds:schemaRefs>
    <ds:schemaRef ds:uri="http://schemas.microsoft.com/office/2006/metadata/properties"/>
    <ds:schemaRef ds:uri="http://schemas.microsoft.com/office/infopath/2007/PartnerControls"/>
    <ds:schemaRef ds:uri="2fe1a0e6-bb16-4c21-b94f-a074a051f9a1"/>
    <ds:schemaRef ds:uri="2f6a910d-138e-42c1-8e8a-320c1b7cf3f7"/>
    <ds:schemaRef ds:uri="2657d90e-98ad-4863-9cfa-14679c76bdf4"/>
  </ds:schemaRefs>
</ds:datastoreItem>
</file>

<file path=customXml/itemProps3.xml><?xml version="1.0" encoding="utf-8"?>
<ds:datastoreItem xmlns:ds="http://schemas.openxmlformats.org/officeDocument/2006/customXml" ds:itemID="{DA6B7369-4EF2-42B0-99A4-B62825D380FF}">
  <ds:schemaRefs>
    <ds:schemaRef ds:uri="http://schemas.microsoft.com/sharepoint/v3/contenttype/forms"/>
  </ds:schemaRefs>
</ds:datastoreItem>
</file>

<file path=customXml/itemProps4.xml><?xml version="1.0" encoding="utf-8"?>
<ds:datastoreItem xmlns:ds="http://schemas.openxmlformats.org/officeDocument/2006/customXml" ds:itemID="{EB28A905-69CB-413E-AEEE-D7ED23C57CDA}">
  <ds:schemaRefs>
    <ds:schemaRef ds:uri="http://schemas.microsoft.com/DataMashup"/>
  </ds:schemaRefs>
</ds:datastoreItem>
</file>

<file path=customXml/itemProps5.xml><?xml version="1.0" encoding="utf-8"?>
<ds:datastoreItem xmlns:ds="http://schemas.openxmlformats.org/officeDocument/2006/customXml" ds:itemID="{E8473FC8-2A35-40DA-9BCA-72E26624E11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questions</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Weijenberg, N.H.H. (Norbert)</dc:creator>
  <cp:lastModifiedBy>Weijenberg, N.H.H. (Norbert)</cp:lastModifiedBy>
  <cp:lastPrinted>2025-04-11T13:02:48Z</cp:lastPrinted>
  <dcterms:created xsi:type="dcterms:W3CDTF">2025-04-11T10:56:35Z</dcterms:created>
  <dcterms:modified xsi:type="dcterms:W3CDTF">2025-06-25T15:32:22Z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0x010100A35317DCC28344A7B82488658A034A5C0100D76761BD4D36FC4FB8CB53F1E17FD274</vt:lpwstr>
  </property>
  <property fmtid="{D5CDD505-2E9C-101B-9397-08002B2CF9AE}" pid="4" name="_dlc_DocIdItemGuid">
    <vt:lpwstr>a88b2630-6973-4701-861a-201c7bd8514b</vt:lpwstr>
  </property>
  <property fmtid="{D5CDD505-2E9C-101B-9397-08002B2CF9AE}" pid="5" name="TNOC_DocumentCategory">
    <vt:lpwstr/>
  </property>
  <property fmtid="{D5CDD505-2E9C-101B-9397-08002B2CF9AE}" pid="6" name="TNOC_ClusterType">
    <vt:lpwstr>3;#Team|c614ed86-6527-4042-aa9d-da80e2b69463</vt:lpwstr>
  </property>
  <property fmtid="{D5CDD505-2E9C-101B-9397-08002B2CF9AE}" pid="7" name="TNOC_DocumentClassification">
    <vt:lpwstr>5;#TNO Internal|1a23c89f-ef54-4907-86fd-8242403ff722</vt:lpwstr>
  </property>
  <property fmtid="{D5CDD505-2E9C-101B-9397-08002B2CF9AE}" pid="8" name="TNOC_DocumentType">
    <vt:lpwstr/>
  </property>
</Properties>
</file>