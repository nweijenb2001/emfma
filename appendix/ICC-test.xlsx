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eij\OneDrive - Universiteit Leiden\Industrial Ecology\GitHub\emfma\appendix\"/>
    </mc:Choice>
  </mc:AlternateContent>
  <xr:revisionPtr revIDLastSave="0" documentId="8_{73198446-B847-4D67-9B28-EEA3E01AD2CF}" xr6:coauthVersionLast="47" xr6:coauthVersionMax="47" xr10:uidLastSave="{00000000-0000-0000-0000-000000000000}"/>
  <bookViews>
    <workbookView xWindow="-108" yWindow="-108" windowWidth="23256" windowHeight="12456" xr2:uid="{39FD2966-7B7E-4C32-8505-4D77D19D61EF}"/>
  </bookViews>
  <sheets>
    <sheet name="Spearman-microplastics" sheetId="7" r:id="rId1"/>
    <sheet name="Spearman-secondary" sheetId="8" r:id="rId2"/>
    <sheet name="Robust-microplastics" sheetId="9" r:id="rId3"/>
    <sheet name="Robust-secondary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0" l="1"/>
  <c r="F59" i="10" s="1"/>
  <c r="D59" i="10"/>
  <c r="E58" i="10"/>
  <c r="D58" i="10"/>
  <c r="E57" i="10"/>
  <c r="D57" i="10"/>
  <c r="E56" i="10"/>
  <c r="D56" i="10"/>
  <c r="E55" i="10"/>
  <c r="D55" i="10"/>
  <c r="E54" i="10"/>
  <c r="D54" i="10"/>
  <c r="F54" i="10" s="1"/>
  <c r="E53" i="10"/>
  <c r="D53" i="10"/>
  <c r="F53" i="10" s="1"/>
  <c r="E52" i="10"/>
  <c r="D52" i="10"/>
  <c r="E51" i="10"/>
  <c r="D51" i="10"/>
  <c r="H52" i="10" s="1"/>
  <c r="E47" i="10"/>
  <c r="D47" i="10"/>
  <c r="E46" i="10"/>
  <c r="D46" i="10"/>
  <c r="E45" i="10"/>
  <c r="D45" i="10"/>
  <c r="E44" i="10"/>
  <c r="D44" i="10"/>
  <c r="F44" i="10" s="1"/>
  <c r="E43" i="10"/>
  <c r="D43" i="10"/>
  <c r="F43" i="10" s="1"/>
  <c r="E42" i="10"/>
  <c r="D42" i="10"/>
  <c r="F42" i="10" s="1"/>
  <c r="E41" i="10"/>
  <c r="F41" i="10" s="1"/>
  <c r="D41" i="10"/>
  <c r="E40" i="10"/>
  <c r="D40" i="10"/>
  <c r="E39" i="10"/>
  <c r="D39" i="10"/>
  <c r="E35" i="10"/>
  <c r="D35" i="10"/>
  <c r="F35" i="10" s="1"/>
  <c r="E34" i="10"/>
  <c r="D34" i="10"/>
  <c r="E33" i="10"/>
  <c r="D33" i="10"/>
  <c r="F33" i="10" s="1"/>
  <c r="E32" i="10"/>
  <c r="F32" i="10" s="1"/>
  <c r="D32" i="10"/>
  <c r="E31" i="10"/>
  <c r="D31" i="10"/>
  <c r="F31" i="10" s="1"/>
  <c r="E30" i="10"/>
  <c r="D30" i="10"/>
  <c r="F30" i="10" s="1"/>
  <c r="E29" i="10"/>
  <c r="D29" i="10"/>
  <c r="E28" i="10"/>
  <c r="D28" i="10"/>
  <c r="E27" i="10"/>
  <c r="D27" i="10"/>
  <c r="E23" i="10"/>
  <c r="D23" i="10"/>
  <c r="E22" i="10"/>
  <c r="D22" i="10"/>
  <c r="E21" i="10"/>
  <c r="D21" i="10"/>
  <c r="E20" i="10"/>
  <c r="D20" i="10"/>
  <c r="F20" i="10" s="1"/>
  <c r="E19" i="10"/>
  <c r="D19" i="10"/>
  <c r="F19" i="10" s="1"/>
  <c r="E18" i="10"/>
  <c r="D18" i="10"/>
  <c r="F18" i="10" s="1"/>
  <c r="E17" i="10"/>
  <c r="D17" i="10"/>
  <c r="E16" i="10"/>
  <c r="D16" i="10"/>
  <c r="E15" i="10"/>
  <c r="D15" i="10"/>
  <c r="H16" i="10" s="1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F58" i="10"/>
  <c r="F57" i="10"/>
  <c r="I56" i="10"/>
  <c r="F56" i="10"/>
  <c r="F55" i="10"/>
  <c r="I54" i="10"/>
  <c r="I58" i="10" s="1"/>
  <c r="F47" i="10"/>
  <c r="I46" i="10"/>
  <c r="F46" i="10"/>
  <c r="F45" i="10"/>
  <c r="I44" i="10"/>
  <c r="I42" i="10"/>
  <c r="F40" i="10"/>
  <c r="F34" i="10"/>
  <c r="I32" i="10"/>
  <c r="I30" i="10"/>
  <c r="I34" i="10" s="1"/>
  <c r="F29" i="10"/>
  <c r="F28" i="10"/>
  <c r="F27" i="10"/>
  <c r="F23" i="10"/>
  <c r="F22" i="10"/>
  <c r="F21" i="10"/>
  <c r="I18" i="10"/>
  <c r="I20" i="10" s="1"/>
  <c r="F17" i="10"/>
  <c r="F16" i="10"/>
  <c r="I10" i="10"/>
  <c r="I8" i="10"/>
  <c r="I6" i="10"/>
  <c r="H56" i="9" a="1"/>
  <c r="H56" i="9" s="1"/>
  <c r="H60" i="9" s="1"/>
  <c r="I54" i="9"/>
  <c r="I58" i="9" s="1"/>
  <c r="H54" i="9" a="1"/>
  <c r="H54" i="9" s="1"/>
  <c r="H58" i="9" s="1"/>
  <c r="I52" i="9" s="1"/>
  <c r="H52" i="9"/>
  <c r="H44" i="9" a="1"/>
  <c r="H44" i="9" s="1"/>
  <c r="H48" i="9" s="1"/>
  <c r="I42" i="9"/>
  <c r="I46" i="9" s="1"/>
  <c r="H42" i="9" a="1"/>
  <c r="H42" i="9" s="1"/>
  <c r="H46" i="9" s="1"/>
  <c r="H40" i="9"/>
  <c r="H32" i="9" a="1"/>
  <c r="H32" i="9" s="1"/>
  <c r="H36" i="9" s="1"/>
  <c r="I30" i="9"/>
  <c r="I34" i="9" s="1"/>
  <c r="H30" i="9" a="1"/>
  <c r="H30" i="9" s="1"/>
  <c r="H34" i="9" s="1"/>
  <c r="I28" i="9" s="1"/>
  <c r="H28" i="9"/>
  <c r="I22" i="9"/>
  <c r="H20" i="9" a="1"/>
  <c r="H20" i="9" s="1"/>
  <c r="H24" i="9" s="1"/>
  <c r="I18" i="9"/>
  <c r="I20" i="9" s="1"/>
  <c r="H18" i="9" a="1"/>
  <c r="H18" i="9" s="1"/>
  <c r="H22" i="9" s="1"/>
  <c r="I16" i="9" s="1"/>
  <c r="H16" i="9"/>
  <c r="H10" i="9"/>
  <c r="E59" i="9"/>
  <c r="D59" i="9"/>
  <c r="F59" i="9" s="1"/>
  <c r="E58" i="9"/>
  <c r="D58" i="9"/>
  <c r="F58" i="9" s="1"/>
  <c r="E57" i="9"/>
  <c r="D57" i="9"/>
  <c r="F57" i="9" s="1"/>
  <c r="E56" i="9"/>
  <c r="D56" i="9"/>
  <c r="F56" i="9" s="1"/>
  <c r="E55" i="9"/>
  <c r="D55" i="9"/>
  <c r="F55" i="9" s="1"/>
  <c r="E54" i="9"/>
  <c r="D54" i="9"/>
  <c r="F54" i="9" s="1"/>
  <c r="E53" i="9"/>
  <c r="D53" i="9"/>
  <c r="E52" i="9"/>
  <c r="D52" i="9"/>
  <c r="E51" i="9"/>
  <c r="D51" i="9"/>
  <c r="E47" i="9"/>
  <c r="D47" i="9"/>
  <c r="E46" i="9"/>
  <c r="D46" i="9"/>
  <c r="E45" i="9"/>
  <c r="D45" i="9"/>
  <c r="E44" i="9"/>
  <c r="D44" i="9"/>
  <c r="E43" i="9"/>
  <c r="D43" i="9"/>
  <c r="E42" i="9"/>
  <c r="D42" i="9"/>
  <c r="F42" i="9" s="1"/>
  <c r="E41" i="9"/>
  <c r="F41" i="9" s="1"/>
  <c r="D41" i="9"/>
  <c r="E40" i="9"/>
  <c r="D40" i="9"/>
  <c r="E39" i="9"/>
  <c r="D39" i="9"/>
  <c r="E35" i="9"/>
  <c r="D35" i="9"/>
  <c r="E34" i="9"/>
  <c r="D34" i="9"/>
  <c r="E33" i="9"/>
  <c r="D33" i="9"/>
  <c r="E32" i="9"/>
  <c r="D32" i="9"/>
  <c r="F32" i="9" s="1"/>
  <c r="E31" i="9"/>
  <c r="D31" i="9"/>
  <c r="F31" i="9" s="1"/>
  <c r="E30" i="9"/>
  <c r="D30" i="9"/>
  <c r="F30" i="9" s="1"/>
  <c r="E29" i="9"/>
  <c r="D29" i="9"/>
  <c r="E28" i="9"/>
  <c r="D28" i="9"/>
  <c r="E27" i="9"/>
  <c r="D27" i="9"/>
  <c r="E23" i="9"/>
  <c r="D23" i="9"/>
  <c r="E22" i="9"/>
  <c r="D22" i="9"/>
  <c r="F22" i="9" s="1"/>
  <c r="E21" i="9"/>
  <c r="D21" i="9"/>
  <c r="F21" i="9" s="1"/>
  <c r="E20" i="9"/>
  <c r="D20" i="9"/>
  <c r="F20" i="9" s="1"/>
  <c r="E19" i="9"/>
  <c r="D19" i="9"/>
  <c r="F19" i="9" s="1"/>
  <c r="E18" i="9"/>
  <c r="D18" i="9"/>
  <c r="F18" i="9" s="1"/>
  <c r="E17" i="9"/>
  <c r="D17" i="9"/>
  <c r="E16" i="9"/>
  <c r="D16" i="9"/>
  <c r="E15" i="9"/>
  <c r="D15" i="9"/>
  <c r="F53" i="9"/>
  <c r="F52" i="9"/>
  <c r="F51" i="9"/>
  <c r="F47" i="9"/>
  <c r="F46" i="9"/>
  <c r="F45" i="9"/>
  <c r="F44" i="9"/>
  <c r="F43" i="9"/>
  <c r="F35" i="9"/>
  <c r="F34" i="9"/>
  <c r="F33" i="9"/>
  <c r="F29" i="9"/>
  <c r="F28" i="9"/>
  <c r="F23" i="9"/>
  <c r="F17" i="9"/>
  <c r="F16" i="9"/>
  <c r="I6" i="9"/>
  <c r="I8" i="9" s="1"/>
  <c r="E11" i="9"/>
  <c r="D11" i="9"/>
  <c r="E10" i="9"/>
  <c r="D10" i="9"/>
  <c r="E9" i="9"/>
  <c r="D9" i="9"/>
  <c r="F9" i="9" s="1"/>
  <c r="E8" i="9"/>
  <c r="D8" i="9"/>
  <c r="F8" i="9" s="1"/>
  <c r="E7" i="9"/>
  <c r="D7" i="9"/>
  <c r="F7" i="9" s="1"/>
  <c r="E6" i="9"/>
  <c r="D6" i="9"/>
  <c r="E5" i="9"/>
  <c r="D5" i="9"/>
  <c r="E4" i="9"/>
  <c r="D4" i="9"/>
  <c r="E3" i="9"/>
  <c r="D3" i="9"/>
  <c r="F10" i="9"/>
  <c r="F11" i="9"/>
  <c r="F5" i="9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I10" i="8"/>
  <c r="F10" i="8"/>
  <c r="F9" i="8"/>
  <c r="H8" i="8" a="1"/>
  <c r="H8" i="8" s="1"/>
  <c r="H12" i="8" s="1"/>
  <c r="F8" i="8"/>
  <c r="F7" i="8"/>
  <c r="I6" i="8"/>
  <c r="I8" i="8" s="1"/>
  <c r="F6" i="8"/>
  <c r="F5" i="8"/>
  <c r="H4" i="8"/>
  <c r="F4" i="8"/>
  <c r="F3" i="8"/>
  <c r="F3" i="7"/>
  <c r="I6" i="7"/>
  <c r="I10" i="7" s="1"/>
  <c r="H8" i="7" a="1"/>
  <c r="H8" i="7" s="1"/>
  <c r="H12" i="7" s="1"/>
  <c r="H4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H56" i="10" l="1" a="1"/>
  <c r="H56" i="10" s="1"/>
  <c r="H60" i="10" s="1"/>
  <c r="H40" i="10"/>
  <c r="F8" i="10"/>
  <c r="F7" i="10"/>
  <c r="F9" i="10"/>
  <c r="F4" i="10"/>
  <c r="F10" i="10"/>
  <c r="F6" i="10"/>
  <c r="F3" i="10"/>
  <c r="F5" i="10"/>
  <c r="F11" i="10"/>
  <c r="I22" i="10"/>
  <c r="F39" i="10"/>
  <c r="H44" i="10" a="1"/>
  <c r="H44" i="10" s="1"/>
  <c r="H48" i="10" s="1"/>
  <c r="F52" i="10"/>
  <c r="H32" i="10" a="1"/>
  <c r="H32" i="10" s="1"/>
  <c r="H36" i="10" s="1"/>
  <c r="H28" i="10"/>
  <c r="H4" i="10"/>
  <c r="F15" i="10"/>
  <c r="H18" i="10" s="1" a="1"/>
  <c r="H18" i="10" s="1"/>
  <c r="H22" i="10" s="1"/>
  <c r="H8" i="10" a="1"/>
  <c r="H8" i="10" s="1"/>
  <c r="H12" i="10" s="1"/>
  <c r="H20" i="10" a="1"/>
  <c r="H20" i="10" s="1"/>
  <c r="H24" i="10" s="1"/>
  <c r="F51" i="10"/>
  <c r="I56" i="9"/>
  <c r="I40" i="9"/>
  <c r="I44" i="9"/>
  <c r="I32" i="9"/>
  <c r="F40" i="9"/>
  <c r="F39" i="9"/>
  <c r="F27" i="9"/>
  <c r="F15" i="9"/>
  <c r="H8" i="9" a="1"/>
  <c r="H8" i="9" s="1"/>
  <c r="H12" i="9" s="1"/>
  <c r="F4" i="9"/>
  <c r="F3" i="9"/>
  <c r="H4" i="9"/>
  <c r="F6" i="9"/>
  <c r="I10" i="9"/>
  <c r="H6" i="8" a="1"/>
  <c r="H6" i="8" s="1"/>
  <c r="H10" i="8" s="1"/>
  <c r="H16" i="8" s="1"/>
  <c r="I8" i="7"/>
  <c r="H6" i="7" a="1"/>
  <c r="H6" i="7" s="1"/>
  <c r="H10" i="7" s="1"/>
  <c r="I4" i="7" s="1"/>
  <c r="H6" i="10" l="1" a="1"/>
  <c r="H6" i="10" s="1"/>
  <c r="H10" i="10" s="1"/>
  <c r="K5" i="10"/>
  <c r="I4" i="10"/>
  <c r="H42" i="10" a="1"/>
  <c r="H42" i="10" s="1"/>
  <c r="H46" i="10" s="1"/>
  <c r="I16" i="10"/>
  <c r="K17" i="10"/>
  <c r="H30" i="10" a="1"/>
  <c r="H30" i="10" s="1"/>
  <c r="H34" i="10" s="1"/>
  <c r="H54" i="10" a="1"/>
  <c r="H54" i="10" s="1"/>
  <c r="H58" i="10" s="1"/>
  <c r="M53" i="9"/>
  <c r="L53" i="9"/>
  <c r="K53" i="9"/>
  <c r="K41" i="9"/>
  <c r="K29" i="9"/>
  <c r="K17" i="9"/>
  <c r="H6" i="9" a="1"/>
  <c r="H6" i="9" s="1"/>
  <c r="I4" i="8"/>
  <c r="I16" i="8"/>
  <c r="J16" i="8"/>
  <c r="J16" i="7"/>
  <c r="I16" i="7"/>
  <c r="H16" i="7"/>
  <c r="K53" i="10" l="1"/>
  <c r="I52" i="10"/>
  <c r="K29" i="10"/>
  <c r="I28" i="10"/>
  <c r="M17" i="10"/>
  <c r="L17" i="10"/>
  <c r="I40" i="10"/>
  <c r="K41" i="10"/>
  <c r="M5" i="10"/>
  <c r="L5" i="10"/>
  <c r="M41" i="9"/>
  <c r="L41" i="9"/>
  <c r="M29" i="9"/>
  <c r="L29" i="9"/>
  <c r="M17" i="9"/>
  <c r="L17" i="9"/>
  <c r="I4" i="9"/>
  <c r="M5" i="9" s="1"/>
  <c r="K5" i="9"/>
  <c r="L5" i="9"/>
  <c r="M41" i="10" l="1"/>
  <c r="L41" i="10"/>
  <c r="M29" i="10"/>
  <c r="L29" i="10"/>
  <c r="M53" i="10"/>
  <c r="L53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<sst xmlns="http://schemas.openxmlformats.org/spreadsheetml/2006/main" count="862" uniqueCount="141">
  <si>
    <t>From</t>
  </si>
  <si>
    <t>To</t>
  </si>
  <si>
    <t>Consumer bottles</t>
  </si>
  <si>
    <t>Consumer bottles on-the-go</t>
  </si>
  <si>
    <t>Deposit refund scheme</t>
  </si>
  <si>
    <t>Consumer bottles at home</t>
  </si>
  <si>
    <t>Consumer bottles on-the-go non-deposit</t>
  </si>
  <si>
    <t>Mixed waste collection</t>
  </si>
  <si>
    <t>Litter (residential)</t>
  </si>
  <si>
    <t>Litter (roads)</t>
  </si>
  <si>
    <t>Litter (nature)</t>
  </si>
  <si>
    <t>Outdoor air (MP)</t>
  </si>
  <si>
    <t>Human (intestines)</t>
  </si>
  <si>
    <t>Consumer bottles at home non-deposit</t>
  </si>
  <si>
    <t>Packaging collection</t>
  </si>
  <si>
    <t>Dumping</t>
  </si>
  <si>
    <t>Compost collection (large)</t>
  </si>
  <si>
    <t>Compost collection (small)</t>
  </si>
  <si>
    <t>Indoor air (MP)</t>
  </si>
  <si>
    <t>Floors (MP)</t>
  </si>
  <si>
    <t>Waste water (MP)</t>
  </si>
  <si>
    <t>WWT (MP)</t>
  </si>
  <si>
    <t>Packaging collected</t>
  </si>
  <si>
    <t>Packaging recycling</t>
  </si>
  <si>
    <t>Incineration</t>
  </si>
  <si>
    <t>Sanitary landfill</t>
  </si>
  <si>
    <t>Residential soil</t>
  </si>
  <si>
    <t>Mixed waste collected</t>
  </si>
  <si>
    <t>Second. material</t>
  </si>
  <si>
    <t>Industry water (MP)</t>
  </si>
  <si>
    <t>Surface water (MP)</t>
  </si>
  <si>
    <t>Residential soil (MP)</t>
  </si>
  <si>
    <t>WWT</t>
  </si>
  <si>
    <t>No WWT</t>
  </si>
  <si>
    <t>Secondary WWT</t>
  </si>
  <si>
    <t>Tertiary WWT</t>
  </si>
  <si>
    <t>Sludge</t>
  </si>
  <si>
    <t>Surface water</t>
  </si>
  <si>
    <t>Secondary WWT (MP)</t>
  </si>
  <si>
    <t>Sludge (MP)</t>
  </si>
  <si>
    <t>Subsurface (MP)</t>
  </si>
  <si>
    <t>Tertiary WWT (MP)</t>
  </si>
  <si>
    <t>Sludge collection (MP)</t>
  </si>
  <si>
    <t>Sanitary landfill (MP)</t>
  </si>
  <si>
    <t>Incineration (MP)</t>
  </si>
  <si>
    <t>Elimination (MP)</t>
  </si>
  <si>
    <t>Compost</t>
  </si>
  <si>
    <t>Agricultural soil</t>
  </si>
  <si>
    <t>Storm water</t>
  </si>
  <si>
    <t>Natural soil</t>
  </si>
  <si>
    <t>Not collected</t>
  </si>
  <si>
    <t>Human (lungs)</t>
  </si>
  <si>
    <t>Sludge collection</t>
  </si>
  <si>
    <t>No WWT (MP)</t>
  </si>
  <si>
    <t>Elimination</t>
  </si>
  <si>
    <t>Packaging</t>
  </si>
  <si>
    <t>Air precipitation (MP)</t>
  </si>
  <si>
    <t>Forest soil (MP)</t>
  </si>
  <si>
    <t>Grassland soil (MP)</t>
  </si>
  <si>
    <t>Wetland (MP)</t>
  </si>
  <si>
    <t>Shrubland soil (MP)</t>
  </si>
  <si>
    <t>Steppe soil (MP)</t>
  </si>
  <si>
    <t>Agricultural soil (MP)</t>
  </si>
  <si>
    <t>Bare soil (MP)</t>
  </si>
  <si>
    <t>Inland water (MP)</t>
  </si>
  <si>
    <t>Forest soil</t>
  </si>
  <si>
    <t>Grassland soil</t>
  </si>
  <si>
    <t>Shrubland soil</t>
  </si>
  <si>
    <t>Steppe soil</t>
  </si>
  <si>
    <t>Bare soil</t>
  </si>
  <si>
    <t>Wetland</t>
  </si>
  <si>
    <t>Inland water</t>
  </si>
  <si>
    <t>Natural soil (MP)</t>
  </si>
  <si>
    <t>Compost (MP)</t>
  </si>
  <si>
    <t>Road side</t>
  </si>
  <si>
    <t>Policy</t>
  </si>
  <si>
    <t>BAU</t>
  </si>
  <si>
    <t>Reduce</t>
  </si>
  <si>
    <t>Capture</t>
  </si>
  <si>
    <t>Clean</t>
  </si>
  <si>
    <t>Return</t>
  </si>
  <si>
    <t>Homogenize</t>
  </si>
  <si>
    <t>Manage</t>
  </si>
  <si>
    <t>Redesign</t>
  </si>
  <si>
    <t>Extract</t>
  </si>
  <si>
    <t>Row means</t>
  </si>
  <si>
    <t>Run 1 Spearman Rank Correlation Coefficient</t>
  </si>
  <si>
    <t>Run 2 Spearman Rank Correlation Coefficient</t>
  </si>
  <si>
    <t>GM</t>
  </si>
  <si>
    <t>SS_R</t>
  </si>
  <si>
    <t>SS_E</t>
  </si>
  <si>
    <t>MS_E</t>
  </si>
  <si>
    <t>MS_R</t>
  </si>
  <si>
    <t>ICC(3,1)</t>
  </si>
  <si>
    <t>F</t>
  </si>
  <si>
    <t>Up crit F</t>
  </si>
  <si>
    <t>Lo crit F</t>
  </si>
  <si>
    <t>Lower CI</t>
  </si>
  <si>
    <t>Upper CI</t>
  </si>
  <si>
    <t>ICC calculation using single-rating, consistency-based, two-way mixed-effects model</t>
  </si>
  <si>
    <t>df</t>
  </si>
  <si>
    <t>Idx</t>
  </si>
  <si>
    <t>Sensitivity of vulnerability scores under BAU policy, targeting microplastic pollution</t>
  </si>
  <si>
    <t>Sensitivity of vulnerability scores under BAU policy, targeting secondary material production</t>
  </si>
  <si>
    <t>Run 1 Min-max normalized Mean outcome</t>
  </si>
  <si>
    <t>Run 2 Min-max normalized Mean outcome</t>
  </si>
  <si>
    <t>Run 1 Mean Outcome</t>
  </si>
  <si>
    <t>Run 2 Mean outcome</t>
  </si>
  <si>
    <t>Sensitivity of robustness scores under various policies targeting microplastic pollution</t>
  </si>
  <si>
    <t>Run 1 Failure Rate</t>
  </si>
  <si>
    <t>Run 2 Failure Rate</t>
  </si>
  <si>
    <t>Run 1 Min-max normalized Failure rate</t>
  </si>
  <si>
    <t>Run 2 Min-max normalized Failure rate</t>
  </si>
  <si>
    <t>Run 1 Signal X Noise</t>
  </si>
  <si>
    <t>Run 2 Signal X Noise</t>
  </si>
  <si>
    <t>Run 1 Min-max normalized Signal X Noise</t>
  </si>
  <si>
    <t>Run 2 Min-max normalized Signal X Noise</t>
  </si>
  <si>
    <t>Run 1 Max outcome</t>
  </si>
  <si>
    <t>Run 2 Max outcome</t>
  </si>
  <si>
    <t>Run 1 Min-max normalized
Max outcome</t>
  </si>
  <si>
    <t>Run 2 Min-max normalized
Max outcome</t>
  </si>
  <si>
    <t>Run 1 Max regret</t>
  </si>
  <si>
    <t>Run 2 Max regret</t>
  </si>
  <si>
    <t>Run 1 Min-max normalized
Max regret</t>
  </si>
  <si>
    <t>Run 2 Min-max normalized
Max regret</t>
  </si>
  <si>
    <t>Run 1 Success Rate</t>
  </si>
  <si>
    <t>Run 2 Success Rate</t>
  </si>
  <si>
    <t>Run 1 Min-max normalized Success rate</t>
  </si>
  <si>
    <t>Run 2 Min-max normalized Success rate</t>
  </si>
  <si>
    <t>Run 1 Signal to Noise</t>
  </si>
  <si>
    <t>Run 2 Signal to Noise</t>
  </si>
  <si>
    <t>Run 1 Min-max normalized Signal to Noise</t>
  </si>
  <si>
    <t>Run 2 Min-max normalized Signal to Noise</t>
  </si>
  <si>
    <t>Run 1 Min outcome</t>
  </si>
  <si>
    <t>Run 2 Min outcome</t>
  </si>
  <si>
    <t>Run 1 Min-max normalized
Min outcome</t>
  </si>
  <si>
    <t>Run 2 Min-max normalized
Min outcome</t>
  </si>
  <si>
    <t>Run 1 Regret margin</t>
  </si>
  <si>
    <t>Run 2 Regret margin</t>
  </si>
  <si>
    <t>Run 1 Min-max normalized
Regret margin</t>
  </si>
  <si>
    <t>Run 2 Min-max normalized
Regret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</si>
</sst>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704F-D9C7-41CC-B024-1E07B07658EA}">
  <dimension ref="A1:O135"/>
  <sheetViews>
    <sheetView tabSelected="1" workbookViewId="0">
      <selection activeCell="H14" sqref="H14:J16"/>
    </sheetView>
  </sheetViews>
  <sheetFormatPr defaultRowHeight="14.4" x14ac:dyDescent="0.3"/>
  <cols>
    <col min="1" max="1" width="4" bestFit="1" customWidth="1"/>
    <col min="2" max="3" width="33.77734375" bestFit="1" customWidth="1"/>
    <col min="4" max="5" width="20.77734375" customWidth="1"/>
    <col min="6" max="6" width="6.44140625" bestFit="1" customWidth="1"/>
  </cols>
  <sheetData>
    <row r="1" spans="1:15" x14ac:dyDescent="0.3">
      <c r="A1" s="6" t="s">
        <v>102</v>
      </c>
      <c r="B1" s="6"/>
      <c r="C1" s="6"/>
      <c r="D1" s="6"/>
      <c r="E1" s="6"/>
      <c r="F1" s="6"/>
    </row>
    <row r="2" spans="1:15" s="7" customFormat="1" ht="28.8" x14ac:dyDescent="0.3">
      <c r="A2" s="7" t="s">
        <v>101</v>
      </c>
      <c r="B2" s="5" t="s">
        <v>0</v>
      </c>
      <c r="C2" s="5" t="s">
        <v>1</v>
      </c>
      <c r="D2" s="7" t="s">
        <v>86</v>
      </c>
      <c r="E2" s="7" t="s">
        <v>87</v>
      </c>
      <c r="F2" s="7" t="s">
        <v>85</v>
      </c>
    </row>
    <row r="3" spans="1:15" x14ac:dyDescent="0.3">
      <c r="A3">
        <v>0</v>
      </c>
      <c r="B3" t="s">
        <v>2</v>
      </c>
      <c r="C3" t="s">
        <v>3</v>
      </c>
      <c r="D3">
        <v>0.105517766071064</v>
      </c>
      <c r="E3">
        <v>0.203189036756147</v>
      </c>
      <c r="F3">
        <f>AVERAGE(D3:E3)</f>
        <v>0.15435340141360548</v>
      </c>
      <c r="H3" s="8" t="s">
        <v>88</v>
      </c>
      <c r="I3" t="s">
        <v>94</v>
      </c>
    </row>
    <row r="4" spans="1:15" x14ac:dyDescent="0.3">
      <c r="A4">
        <v>1</v>
      </c>
      <c r="B4" t="s">
        <v>3</v>
      </c>
      <c r="C4" t="s">
        <v>4</v>
      </c>
      <c r="D4">
        <v>-0.571775407101628</v>
      </c>
      <c r="E4">
        <v>-0.52325988503954002</v>
      </c>
      <c r="F4">
        <f t="shared" ref="F4:F67" si="0">AVERAGE(D4:E4)</f>
        <v>-0.54751764607058395</v>
      </c>
      <c r="H4" s="4">
        <f>AVERAGE(D3:E135)</f>
        <v>9.3967239551266627E-3</v>
      </c>
      <c r="I4">
        <f>H10/H12</f>
        <v>11.343148394152077</v>
      </c>
    </row>
    <row r="5" spans="1:15" x14ac:dyDescent="0.3">
      <c r="A5">
        <v>2</v>
      </c>
      <c r="B5" t="s">
        <v>5</v>
      </c>
      <c r="C5" t="s">
        <v>4</v>
      </c>
      <c r="D5">
        <v>-0.31689246756987</v>
      </c>
      <c r="E5">
        <v>-0.15933346933387699</v>
      </c>
      <c r="F5">
        <f t="shared" si="0"/>
        <v>-0.23811296845187349</v>
      </c>
      <c r="H5" s="4" t="s">
        <v>89</v>
      </c>
      <c r="I5" t="s">
        <v>100</v>
      </c>
    </row>
    <row r="6" spans="1:15" x14ac:dyDescent="0.3">
      <c r="A6">
        <v>3</v>
      </c>
      <c r="B6" t="s">
        <v>6</v>
      </c>
      <c r="C6" t="s">
        <v>7</v>
      </c>
      <c r="D6">
        <v>-7.6350929403717599E-2</v>
      </c>
      <c r="E6">
        <v>-9.1161004644018506E-3</v>
      </c>
      <c r="F6">
        <f t="shared" si="0"/>
        <v>-4.2733514934059726E-2</v>
      </c>
      <c r="H6" s="4" cm="1">
        <f t="array" ref="H6">2*SUMPRODUCT((F3:F135-$H$4)^2)</f>
        <v>2.9113172118888637</v>
      </c>
      <c r="I6">
        <f>COUNT(A3:A135)-1</f>
        <v>132</v>
      </c>
    </row>
    <row r="7" spans="1:15" x14ac:dyDescent="0.3">
      <c r="A7">
        <v>4</v>
      </c>
      <c r="B7" t="s">
        <v>6</v>
      </c>
      <c r="C7" t="s">
        <v>8</v>
      </c>
      <c r="D7">
        <v>1.9055596222384799E-2</v>
      </c>
      <c r="E7">
        <v>-4.5772983091932297E-3</v>
      </c>
      <c r="F7">
        <f t="shared" si="0"/>
        <v>7.2391489565957843E-3</v>
      </c>
      <c r="H7" s="4" t="s">
        <v>90</v>
      </c>
      <c r="I7" t="s">
        <v>95</v>
      </c>
    </row>
    <row r="8" spans="1:15" x14ac:dyDescent="0.3">
      <c r="A8">
        <v>5</v>
      </c>
      <c r="B8" t="s">
        <v>6</v>
      </c>
      <c r="C8" t="s">
        <v>9</v>
      </c>
      <c r="D8">
        <v>-1.09954039816159E-2</v>
      </c>
      <c r="E8">
        <v>1.57119988479953E-2</v>
      </c>
      <c r="F8">
        <f t="shared" si="0"/>
        <v>2.3582974331896999E-3</v>
      </c>
      <c r="H8" s="4" cm="1">
        <f t="array" ref="H8">SUMPRODUCT((D3:D135-E3:E135)^2)</f>
        <v>0.51720607778076055</v>
      </c>
      <c r="I8">
        <f>_xlfn.F.INV.RT(0.025,I6,I6)</f>
        <v>1.4086951989652245</v>
      </c>
    </row>
    <row r="9" spans="1:15" x14ac:dyDescent="0.3">
      <c r="A9">
        <v>6</v>
      </c>
      <c r="B9" t="s">
        <v>6</v>
      </c>
      <c r="C9" t="s">
        <v>10</v>
      </c>
      <c r="D9">
        <v>-5.1634766539066096E-3</v>
      </c>
      <c r="E9">
        <v>1.6836547346189301E-3</v>
      </c>
      <c r="F9">
        <f t="shared" si="0"/>
        <v>-1.7399109596438398E-3</v>
      </c>
      <c r="H9" s="4" t="s">
        <v>92</v>
      </c>
      <c r="I9" t="s">
        <v>96</v>
      </c>
    </row>
    <row r="10" spans="1:15" x14ac:dyDescent="0.3">
      <c r="A10">
        <v>7</v>
      </c>
      <c r="B10" t="s">
        <v>6</v>
      </c>
      <c r="C10" t="s">
        <v>11</v>
      </c>
      <c r="D10">
        <v>0.10681175524702</v>
      </c>
      <c r="E10">
        <v>7.5635822543290099E-2</v>
      </c>
      <c r="F10">
        <f t="shared" si="0"/>
        <v>9.1223788895155047E-2</v>
      </c>
      <c r="H10" s="4">
        <f>H6/(COUNT(A3:A135)-1)</f>
        <v>2.2055433423400484E-2</v>
      </c>
      <c r="I10">
        <f>_xlfn.F.INV(0.025,I6,I6)</f>
        <v>0.70987677159300544</v>
      </c>
    </row>
    <row r="11" spans="1:15" x14ac:dyDescent="0.3">
      <c r="A11">
        <v>8</v>
      </c>
      <c r="B11" t="s">
        <v>6</v>
      </c>
      <c r="C11" t="s">
        <v>12</v>
      </c>
      <c r="D11">
        <v>-7.60879843519373E-3</v>
      </c>
      <c r="E11">
        <v>-4.9394117576470199E-2</v>
      </c>
      <c r="F11">
        <f t="shared" si="0"/>
        <v>-2.8501458005831964E-2</v>
      </c>
      <c r="H11" s="4" t="s">
        <v>91</v>
      </c>
    </row>
    <row r="12" spans="1:15" x14ac:dyDescent="0.3">
      <c r="A12">
        <v>9</v>
      </c>
      <c r="B12" t="s">
        <v>13</v>
      </c>
      <c r="C12" t="s">
        <v>7</v>
      </c>
      <c r="D12">
        <v>2.7752463009851999E-2</v>
      </c>
      <c r="E12">
        <v>-5.1401101604406398E-2</v>
      </c>
      <c r="F12">
        <f t="shared" si="0"/>
        <v>-1.1824319297277199E-2</v>
      </c>
      <c r="H12" s="4">
        <f>H8/(2*(COUNT(A3:A135)))</f>
        <v>1.9443837510554909E-3</v>
      </c>
    </row>
    <row r="13" spans="1:15" x14ac:dyDescent="0.3">
      <c r="A13">
        <v>10</v>
      </c>
      <c r="B13" t="s">
        <v>13</v>
      </c>
      <c r="C13" t="s">
        <v>14</v>
      </c>
      <c r="D13">
        <v>-7.7913911655646596E-4</v>
      </c>
      <c r="E13">
        <v>4.5473749894999499E-2</v>
      </c>
      <c r="F13">
        <f t="shared" si="0"/>
        <v>2.2347305389221517E-2</v>
      </c>
    </row>
    <row r="14" spans="1:15" x14ac:dyDescent="0.3">
      <c r="A14">
        <v>11</v>
      </c>
      <c r="B14" t="s">
        <v>13</v>
      </c>
      <c r="C14" t="s">
        <v>15</v>
      </c>
      <c r="D14">
        <v>-1.39766959067836E-3</v>
      </c>
      <c r="E14">
        <v>3.5933999735998902E-2</v>
      </c>
      <c r="F14">
        <f t="shared" si="0"/>
        <v>1.7268165072660272E-2</v>
      </c>
      <c r="H14" s="2" t="s">
        <v>99</v>
      </c>
      <c r="I14" s="2"/>
      <c r="J14" s="2"/>
      <c r="K14" s="2"/>
      <c r="L14" s="2"/>
      <c r="M14" s="2"/>
      <c r="N14" s="2"/>
      <c r="O14" s="2"/>
    </row>
    <row r="15" spans="1:15" x14ac:dyDescent="0.3">
      <c r="A15">
        <v>12</v>
      </c>
      <c r="B15" t="s">
        <v>13</v>
      </c>
      <c r="C15" t="s">
        <v>16</v>
      </c>
      <c r="D15">
        <v>-3.72959571838287E-2</v>
      </c>
      <c r="E15">
        <v>1.7725798903195599E-2</v>
      </c>
      <c r="F15">
        <f t="shared" si="0"/>
        <v>-9.7850791403165504E-3</v>
      </c>
      <c r="H15" s="4" t="s">
        <v>93</v>
      </c>
      <c r="I15" t="s">
        <v>97</v>
      </c>
      <c r="J15" t="s">
        <v>98</v>
      </c>
    </row>
    <row r="16" spans="1:15" x14ac:dyDescent="0.3">
      <c r="A16">
        <v>13</v>
      </c>
      <c r="B16" t="s">
        <v>13</v>
      </c>
      <c r="C16" t="s">
        <v>17</v>
      </c>
      <c r="D16">
        <v>2.0915219660878601E-2</v>
      </c>
      <c r="E16">
        <v>-6.4819459277837103E-3</v>
      </c>
      <c r="F16">
        <f t="shared" si="0"/>
        <v>7.2166368665474451E-3</v>
      </c>
      <c r="H16" s="3">
        <f>(H10-H12)/(H10+H12)</f>
        <v>0.8379667864199416</v>
      </c>
      <c r="I16" s="3">
        <f>(I4/I8 - 1) / (I4/I8 + 1)</f>
        <v>0.77906015100035331</v>
      </c>
      <c r="J16" s="3">
        <f>(I4/I10 - 1) / (I4/I10 + 1)</f>
        <v>0.88220770108229951</v>
      </c>
    </row>
    <row r="17" spans="1:6" x14ac:dyDescent="0.3">
      <c r="A17">
        <v>14</v>
      </c>
      <c r="B17" t="s">
        <v>13</v>
      </c>
      <c r="C17" t="s">
        <v>18</v>
      </c>
      <c r="D17">
        <v>5.0052200208800801E-2</v>
      </c>
      <c r="E17">
        <v>3.5242028968115797E-2</v>
      </c>
      <c r="F17">
        <f t="shared" si="0"/>
        <v>4.2647114588458296E-2</v>
      </c>
    </row>
    <row r="18" spans="1:6" x14ac:dyDescent="0.3">
      <c r="A18">
        <v>15</v>
      </c>
      <c r="B18" t="s">
        <v>13</v>
      </c>
      <c r="C18" t="s">
        <v>12</v>
      </c>
      <c r="D18">
        <v>4.44552818211272E-2</v>
      </c>
      <c r="E18">
        <v>-1.7423013692054699E-2</v>
      </c>
      <c r="F18">
        <f t="shared" si="0"/>
        <v>1.351613406453625E-2</v>
      </c>
    </row>
    <row r="19" spans="1:6" x14ac:dyDescent="0.3">
      <c r="A19">
        <v>16</v>
      </c>
      <c r="B19" t="s">
        <v>15</v>
      </c>
      <c r="C19" t="s">
        <v>8</v>
      </c>
      <c r="D19">
        <v>8.2870987483949901E-2</v>
      </c>
      <c r="E19">
        <v>1.4873147492589899E-2</v>
      </c>
      <c r="F19">
        <f t="shared" si="0"/>
        <v>4.8872067488269902E-2</v>
      </c>
    </row>
    <row r="20" spans="1:6" x14ac:dyDescent="0.3">
      <c r="A20">
        <v>17</v>
      </c>
      <c r="B20" t="s">
        <v>15</v>
      </c>
      <c r="C20" t="s">
        <v>9</v>
      </c>
      <c r="D20">
        <v>-4.6928443713774803E-2</v>
      </c>
      <c r="E20">
        <v>-1.20562082248328E-2</v>
      </c>
      <c r="F20">
        <f t="shared" si="0"/>
        <v>-2.9492325969303804E-2</v>
      </c>
    </row>
    <row r="21" spans="1:6" x14ac:dyDescent="0.3">
      <c r="A21">
        <v>18</v>
      </c>
      <c r="B21" t="s">
        <v>15</v>
      </c>
      <c r="C21" t="s">
        <v>10</v>
      </c>
      <c r="D21">
        <v>-1.77167748670994E-2</v>
      </c>
      <c r="E21">
        <v>2.3458077832311301E-2</v>
      </c>
      <c r="F21">
        <f t="shared" si="0"/>
        <v>2.8706514826059501E-3</v>
      </c>
    </row>
    <row r="22" spans="1:6" x14ac:dyDescent="0.3">
      <c r="A22">
        <v>19</v>
      </c>
      <c r="B22" t="s">
        <v>19</v>
      </c>
      <c r="C22" t="s">
        <v>20</v>
      </c>
      <c r="D22">
        <v>5.0324937299749198E-2</v>
      </c>
      <c r="E22">
        <v>-3.7359221436885699E-2</v>
      </c>
      <c r="F22">
        <f t="shared" si="0"/>
        <v>6.4828579314317493E-3</v>
      </c>
    </row>
    <row r="23" spans="1:6" x14ac:dyDescent="0.3">
      <c r="A23">
        <v>20</v>
      </c>
      <c r="B23" t="s">
        <v>20</v>
      </c>
      <c r="C23" t="s">
        <v>21</v>
      </c>
      <c r="D23">
        <v>-2.1816567266268998E-2</v>
      </c>
      <c r="E23">
        <v>4.0214176856707397E-2</v>
      </c>
      <c r="F23">
        <f t="shared" si="0"/>
        <v>9.1988047952191992E-3</v>
      </c>
    </row>
    <row r="24" spans="1:6" x14ac:dyDescent="0.3">
      <c r="A24">
        <v>21</v>
      </c>
      <c r="B24" t="s">
        <v>14</v>
      </c>
      <c r="C24" t="s">
        <v>22</v>
      </c>
      <c r="D24">
        <v>5.5205020820083203E-3</v>
      </c>
      <c r="E24">
        <v>9.2865779463117804E-2</v>
      </c>
      <c r="F24">
        <f t="shared" si="0"/>
        <v>4.9193140772563065E-2</v>
      </c>
    </row>
    <row r="25" spans="1:6" x14ac:dyDescent="0.3">
      <c r="A25">
        <v>22</v>
      </c>
      <c r="B25" t="s">
        <v>22</v>
      </c>
      <c r="C25" t="s">
        <v>23</v>
      </c>
      <c r="D25">
        <v>5.9095628382513497E-2</v>
      </c>
      <c r="E25">
        <v>5.8714218856875403E-2</v>
      </c>
      <c r="F25">
        <f t="shared" si="0"/>
        <v>5.8904923619694446E-2</v>
      </c>
    </row>
    <row r="26" spans="1:6" x14ac:dyDescent="0.3">
      <c r="A26">
        <v>23</v>
      </c>
      <c r="B26" t="s">
        <v>22</v>
      </c>
      <c r="C26" t="s">
        <v>24</v>
      </c>
      <c r="D26">
        <v>-9.4689210756843001E-2</v>
      </c>
      <c r="E26">
        <v>-7.1079836319345197E-2</v>
      </c>
      <c r="F26">
        <f t="shared" si="0"/>
        <v>-8.2884523538094099E-2</v>
      </c>
    </row>
    <row r="27" spans="1:6" x14ac:dyDescent="0.3">
      <c r="A27">
        <v>24</v>
      </c>
      <c r="B27" t="s">
        <v>22</v>
      </c>
      <c r="C27" t="s">
        <v>25</v>
      </c>
      <c r="D27">
        <v>5.1599342397369498E-2</v>
      </c>
      <c r="E27">
        <v>2.82709610838443E-2</v>
      </c>
      <c r="F27">
        <f t="shared" si="0"/>
        <v>3.9935151740606897E-2</v>
      </c>
    </row>
    <row r="28" spans="1:6" x14ac:dyDescent="0.3">
      <c r="A28">
        <v>25</v>
      </c>
      <c r="B28" t="s">
        <v>22</v>
      </c>
      <c r="C28" t="s">
        <v>26</v>
      </c>
      <c r="D28">
        <v>5.2893331573326298E-2</v>
      </c>
      <c r="E28">
        <v>3.8605306421225602E-2</v>
      </c>
      <c r="F28">
        <f t="shared" si="0"/>
        <v>4.5749318997275953E-2</v>
      </c>
    </row>
    <row r="29" spans="1:6" x14ac:dyDescent="0.3">
      <c r="A29">
        <v>26</v>
      </c>
      <c r="B29" t="s">
        <v>7</v>
      </c>
      <c r="C29" t="s">
        <v>27</v>
      </c>
      <c r="D29">
        <v>-1.36531746126984E-3</v>
      </c>
      <c r="E29">
        <v>-9.7752007008027997E-2</v>
      </c>
      <c r="F29">
        <f t="shared" si="0"/>
        <v>-4.9558662234648922E-2</v>
      </c>
    </row>
    <row r="30" spans="1:6" x14ac:dyDescent="0.3">
      <c r="A30">
        <v>27</v>
      </c>
      <c r="B30" t="s">
        <v>27</v>
      </c>
      <c r="C30" t="s">
        <v>23</v>
      </c>
      <c r="D30">
        <v>-3.86818187272749E-2</v>
      </c>
      <c r="E30">
        <v>-4.6004056016224003E-2</v>
      </c>
      <c r="F30">
        <f t="shared" si="0"/>
        <v>-4.2342937371749448E-2</v>
      </c>
    </row>
    <row r="31" spans="1:6" x14ac:dyDescent="0.3">
      <c r="A31">
        <v>28</v>
      </c>
      <c r="B31" t="s">
        <v>27</v>
      </c>
      <c r="C31" t="s">
        <v>24</v>
      </c>
      <c r="D31">
        <v>1.75702782811131E-2</v>
      </c>
      <c r="E31">
        <v>1.8984267937071701E-2</v>
      </c>
      <c r="F31">
        <f t="shared" si="0"/>
        <v>1.8277273109092398E-2</v>
      </c>
    </row>
    <row r="32" spans="1:6" x14ac:dyDescent="0.3">
      <c r="A32">
        <v>29</v>
      </c>
      <c r="B32" t="s">
        <v>27</v>
      </c>
      <c r="C32" t="s">
        <v>25</v>
      </c>
      <c r="D32">
        <v>4.45594422377689E-2</v>
      </c>
      <c r="E32">
        <v>7.6694514778059095E-2</v>
      </c>
      <c r="F32">
        <f t="shared" si="0"/>
        <v>6.0626978507914001E-2</v>
      </c>
    </row>
    <row r="33" spans="1:6" x14ac:dyDescent="0.3">
      <c r="A33">
        <v>30</v>
      </c>
      <c r="B33" t="s">
        <v>27</v>
      </c>
      <c r="C33" t="s">
        <v>26</v>
      </c>
      <c r="D33">
        <v>4.49133956535826E-2</v>
      </c>
      <c r="E33">
        <v>7.3985287941151695E-2</v>
      </c>
      <c r="F33">
        <f t="shared" si="0"/>
        <v>5.9449341797367147E-2</v>
      </c>
    </row>
    <row r="34" spans="1:6" x14ac:dyDescent="0.3">
      <c r="A34">
        <v>31</v>
      </c>
      <c r="B34" t="s">
        <v>23</v>
      </c>
      <c r="C34" t="s">
        <v>28</v>
      </c>
      <c r="D34">
        <v>-0.107408013632054</v>
      </c>
      <c r="E34">
        <v>-9.7473317893271502E-2</v>
      </c>
      <c r="F34">
        <f t="shared" si="0"/>
        <v>-0.10244066576266275</v>
      </c>
    </row>
    <row r="35" spans="1:6" x14ac:dyDescent="0.3">
      <c r="A35">
        <v>32</v>
      </c>
      <c r="B35" t="s">
        <v>23</v>
      </c>
      <c r="C35" t="s">
        <v>24</v>
      </c>
      <c r="D35">
        <v>-2.8444913779655098E-3</v>
      </c>
      <c r="E35">
        <v>4.2074088296353103E-3</v>
      </c>
      <c r="F35">
        <f t="shared" si="0"/>
        <v>6.8145872583490023E-4</v>
      </c>
    </row>
    <row r="36" spans="1:6" x14ac:dyDescent="0.3">
      <c r="A36">
        <v>33</v>
      </c>
      <c r="B36" t="s">
        <v>23</v>
      </c>
      <c r="C36" t="s">
        <v>18</v>
      </c>
      <c r="D36">
        <v>0.44101722006888</v>
      </c>
      <c r="E36">
        <v>0.43637070548282197</v>
      </c>
      <c r="F36">
        <f t="shared" si="0"/>
        <v>0.43869396277585099</v>
      </c>
    </row>
    <row r="37" spans="1:6" x14ac:dyDescent="0.3">
      <c r="A37">
        <v>34</v>
      </c>
      <c r="B37" t="s">
        <v>23</v>
      </c>
      <c r="C37" t="s">
        <v>29</v>
      </c>
      <c r="D37">
        <v>0.34586883947535702</v>
      </c>
      <c r="E37">
        <v>0.25626803307213197</v>
      </c>
      <c r="F37">
        <f t="shared" si="0"/>
        <v>0.30106843627374447</v>
      </c>
    </row>
    <row r="38" spans="1:6" x14ac:dyDescent="0.3">
      <c r="A38">
        <v>35</v>
      </c>
      <c r="B38" t="s">
        <v>29</v>
      </c>
      <c r="C38" t="s">
        <v>21</v>
      </c>
      <c r="D38">
        <v>3.1773439093756302E-2</v>
      </c>
      <c r="E38">
        <v>-5.98886875547502E-2</v>
      </c>
      <c r="F38">
        <f t="shared" si="0"/>
        <v>-1.4057624230496949E-2</v>
      </c>
    </row>
    <row r="39" spans="1:6" x14ac:dyDescent="0.3">
      <c r="A39">
        <v>36</v>
      </c>
      <c r="B39" t="s">
        <v>29</v>
      </c>
      <c r="C39" t="s">
        <v>30</v>
      </c>
      <c r="D39">
        <v>-2.83848175392701E-2</v>
      </c>
      <c r="E39">
        <v>5.94678218712874E-2</v>
      </c>
      <c r="F39">
        <f t="shared" si="0"/>
        <v>1.554150216600865E-2</v>
      </c>
    </row>
    <row r="40" spans="1:6" x14ac:dyDescent="0.3">
      <c r="A40">
        <v>37</v>
      </c>
      <c r="B40" t="s">
        <v>29</v>
      </c>
      <c r="C40" t="s">
        <v>31</v>
      </c>
      <c r="D40">
        <v>-3.2869571478285897E-2</v>
      </c>
      <c r="E40">
        <v>1.5258397033588099E-2</v>
      </c>
      <c r="F40">
        <f t="shared" si="0"/>
        <v>-8.8055872223488998E-3</v>
      </c>
    </row>
    <row r="41" spans="1:6" x14ac:dyDescent="0.3">
      <c r="A41">
        <v>38</v>
      </c>
      <c r="B41" t="s">
        <v>32</v>
      </c>
      <c r="C41" t="s">
        <v>33</v>
      </c>
      <c r="D41">
        <v>0</v>
      </c>
      <c r="E41">
        <v>0</v>
      </c>
      <c r="F41">
        <f t="shared" si="0"/>
        <v>0</v>
      </c>
    </row>
    <row r="42" spans="1:6" x14ac:dyDescent="0.3">
      <c r="A42">
        <v>39</v>
      </c>
      <c r="B42" t="s">
        <v>32</v>
      </c>
      <c r="C42" t="s">
        <v>34</v>
      </c>
      <c r="D42">
        <v>-7.7347509390037503E-4</v>
      </c>
      <c r="E42">
        <v>7.0466873867495394E-2</v>
      </c>
      <c r="F42">
        <f t="shared" si="0"/>
        <v>3.4846699386797512E-2</v>
      </c>
    </row>
    <row r="43" spans="1:6" x14ac:dyDescent="0.3">
      <c r="A43">
        <v>40</v>
      </c>
      <c r="B43" t="s">
        <v>32</v>
      </c>
      <c r="C43" t="s">
        <v>35</v>
      </c>
      <c r="D43">
        <v>7.7347509390037503E-4</v>
      </c>
      <c r="E43">
        <v>-7.0466873867495394E-2</v>
      </c>
      <c r="F43">
        <f t="shared" si="0"/>
        <v>-3.4846699386797512E-2</v>
      </c>
    </row>
    <row r="44" spans="1:6" x14ac:dyDescent="0.3">
      <c r="A44">
        <v>41</v>
      </c>
      <c r="B44" t="s">
        <v>34</v>
      </c>
      <c r="C44" t="s">
        <v>36</v>
      </c>
      <c r="D44">
        <v>2.8324337297349102E-2</v>
      </c>
      <c r="E44">
        <v>4.9119364477457898E-2</v>
      </c>
      <c r="F44">
        <f t="shared" si="0"/>
        <v>3.87218508874035E-2</v>
      </c>
    </row>
    <row r="45" spans="1:6" x14ac:dyDescent="0.3">
      <c r="A45">
        <v>42</v>
      </c>
      <c r="B45" t="s">
        <v>34</v>
      </c>
      <c r="C45" t="s">
        <v>37</v>
      </c>
      <c r="D45">
        <v>-5.2039216156864597E-2</v>
      </c>
      <c r="E45">
        <v>3.9445693782775099E-2</v>
      </c>
      <c r="F45">
        <f t="shared" si="0"/>
        <v>-6.2967611870447492E-3</v>
      </c>
    </row>
    <row r="46" spans="1:6" x14ac:dyDescent="0.3">
      <c r="A46">
        <v>43</v>
      </c>
      <c r="B46" t="s">
        <v>34</v>
      </c>
      <c r="C46" t="s">
        <v>24</v>
      </c>
      <c r="D46">
        <v>3.1516446065784201E-2</v>
      </c>
      <c r="E46">
        <v>-6.4067296269185003E-2</v>
      </c>
      <c r="F46">
        <f t="shared" si="0"/>
        <v>-1.6275425101700401E-2</v>
      </c>
    </row>
    <row r="47" spans="1:6" x14ac:dyDescent="0.3">
      <c r="A47">
        <v>44</v>
      </c>
      <c r="B47" t="s">
        <v>35</v>
      </c>
      <c r="C47" t="s">
        <v>36</v>
      </c>
      <c r="D47">
        <v>1.2226224904899601E-2</v>
      </c>
      <c r="E47">
        <v>1.9839055356221401E-2</v>
      </c>
      <c r="F47">
        <f t="shared" si="0"/>
        <v>1.6032640130560501E-2</v>
      </c>
    </row>
    <row r="48" spans="1:6" x14ac:dyDescent="0.3">
      <c r="A48">
        <v>45</v>
      </c>
      <c r="B48" t="s">
        <v>35</v>
      </c>
      <c r="C48" t="s">
        <v>37</v>
      </c>
      <c r="D48">
        <v>-1.8068424273696999E-2</v>
      </c>
      <c r="E48">
        <v>8.0809187236748903E-2</v>
      </c>
      <c r="F48">
        <f t="shared" si="0"/>
        <v>3.1370381481525954E-2</v>
      </c>
    </row>
    <row r="49" spans="1:6" x14ac:dyDescent="0.3">
      <c r="A49">
        <v>46</v>
      </c>
      <c r="B49" t="s">
        <v>35</v>
      </c>
      <c r="C49" t="s">
        <v>24</v>
      </c>
      <c r="D49">
        <v>1.5998175992703902E-2</v>
      </c>
      <c r="E49">
        <v>-6.7920175680702702E-2</v>
      </c>
      <c r="F49">
        <f t="shared" si="0"/>
        <v>-2.59609998439994E-2</v>
      </c>
    </row>
    <row r="50" spans="1:6" x14ac:dyDescent="0.3">
      <c r="A50">
        <v>47</v>
      </c>
      <c r="B50" t="s">
        <v>38</v>
      </c>
      <c r="C50" t="s">
        <v>39</v>
      </c>
      <c r="D50">
        <v>-7.8139704558818204E-2</v>
      </c>
      <c r="E50">
        <v>-0.10145752583010299</v>
      </c>
      <c r="F50">
        <f t="shared" si="0"/>
        <v>-8.9798615194460599E-2</v>
      </c>
    </row>
    <row r="51" spans="1:6" x14ac:dyDescent="0.3">
      <c r="A51">
        <v>48</v>
      </c>
      <c r="B51" t="s">
        <v>38</v>
      </c>
      <c r="C51" t="s">
        <v>30</v>
      </c>
      <c r="D51">
        <v>7.4732266929067703E-2</v>
      </c>
      <c r="E51">
        <v>0.109374869499477</v>
      </c>
      <c r="F51">
        <f t="shared" si="0"/>
        <v>9.2053568214272352E-2</v>
      </c>
    </row>
    <row r="52" spans="1:6" x14ac:dyDescent="0.3">
      <c r="A52">
        <v>49</v>
      </c>
      <c r="B52" t="s">
        <v>38</v>
      </c>
      <c r="C52" t="s">
        <v>40</v>
      </c>
      <c r="D52">
        <v>1.8882699530798099E-2</v>
      </c>
      <c r="E52">
        <v>-3.9764319057276197E-2</v>
      </c>
      <c r="F52">
        <f t="shared" si="0"/>
        <v>-1.0440809763239049E-2</v>
      </c>
    </row>
    <row r="53" spans="1:6" x14ac:dyDescent="0.3">
      <c r="A53">
        <v>50</v>
      </c>
      <c r="B53" t="s">
        <v>41</v>
      </c>
      <c r="C53" t="s">
        <v>39</v>
      </c>
      <c r="D53">
        <v>-7.7858903435613705E-2</v>
      </c>
      <c r="E53">
        <v>-0.117495637982551</v>
      </c>
      <c r="F53">
        <f t="shared" si="0"/>
        <v>-9.7677270709082359E-2</v>
      </c>
    </row>
    <row r="54" spans="1:6" x14ac:dyDescent="0.3">
      <c r="A54">
        <v>51</v>
      </c>
      <c r="B54" t="s">
        <v>41</v>
      </c>
      <c r="C54" t="s">
        <v>30</v>
      </c>
      <c r="D54">
        <v>6.97716390865563E-2</v>
      </c>
      <c r="E54">
        <v>0.105466405865623</v>
      </c>
      <c r="F54">
        <f t="shared" si="0"/>
        <v>8.7619022476089659E-2</v>
      </c>
    </row>
    <row r="55" spans="1:6" x14ac:dyDescent="0.3">
      <c r="A55">
        <v>52</v>
      </c>
      <c r="B55" t="s">
        <v>41</v>
      </c>
      <c r="C55" t="s">
        <v>24</v>
      </c>
      <c r="D55">
        <v>3.5875535502142002E-2</v>
      </c>
      <c r="E55">
        <v>4.9314725258901002E-2</v>
      </c>
      <c r="F55">
        <f t="shared" si="0"/>
        <v>4.2595130380521498E-2</v>
      </c>
    </row>
    <row r="56" spans="1:6" x14ac:dyDescent="0.3">
      <c r="A56">
        <v>53</v>
      </c>
      <c r="B56" t="s">
        <v>41</v>
      </c>
      <c r="C56" t="s">
        <v>40</v>
      </c>
      <c r="D56">
        <v>1.4534362137448501E-2</v>
      </c>
      <c r="E56">
        <v>4.1152004608018398E-2</v>
      </c>
      <c r="F56">
        <f t="shared" si="0"/>
        <v>2.7843183372733449E-2</v>
      </c>
    </row>
    <row r="57" spans="1:6" x14ac:dyDescent="0.3">
      <c r="A57">
        <v>54</v>
      </c>
      <c r="B57" t="s">
        <v>42</v>
      </c>
      <c r="C57" t="s">
        <v>43</v>
      </c>
      <c r="D57">
        <v>-2.5141636566546201E-2</v>
      </c>
      <c r="E57">
        <v>-4.5211860847443303E-2</v>
      </c>
      <c r="F57">
        <f t="shared" si="0"/>
        <v>-3.5176748706994748E-2</v>
      </c>
    </row>
    <row r="58" spans="1:6" x14ac:dyDescent="0.3">
      <c r="A58">
        <v>55</v>
      </c>
      <c r="B58" t="s">
        <v>42</v>
      </c>
      <c r="C58" t="s">
        <v>44</v>
      </c>
      <c r="D58">
        <v>-7.8045432181728701E-3</v>
      </c>
      <c r="E58">
        <v>8.1375301501206004E-2</v>
      </c>
      <c r="F58">
        <f t="shared" si="0"/>
        <v>3.6785379141516569E-2</v>
      </c>
    </row>
    <row r="59" spans="1:6" x14ac:dyDescent="0.3">
      <c r="A59">
        <v>56</v>
      </c>
      <c r="B59" t="s">
        <v>42</v>
      </c>
      <c r="C59" t="s">
        <v>45</v>
      </c>
      <c r="D59">
        <v>3.0317977271909002E-2</v>
      </c>
      <c r="E59">
        <v>-4.4042768171072597E-2</v>
      </c>
      <c r="F59">
        <f t="shared" si="0"/>
        <v>-6.8623954495817974E-3</v>
      </c>
    </row>
    <row r="60" spans="1:6" x14ac:dyDescent="0.3">
      <c r="A60">
        <v>57</v>
      </c>
      <c r="B60" t="s">
        <v>46</v>
      </c>
      <c r="C60" t="s">
        <v>47</v>
      </c>
      <c r="D60">
        <v>-2.9029172116688401E-2</v>
      </c>
      <c r="E60">
        <v>-4.1808167232668903E-3</v>
      </c>
      <c r="F60">
        <f t="shared" si="0"/>
        <v>-1.6604994419977644E-2</v>
      </c>
    </row>
    <row r="61" spans="1:6" x14ac:dyDescent="0.3">
      <c r="A61">
        <v>58</v>
      </c>
      <c r="B61" t="s">
        <v>16</v>
      </c>
      <c r="C61" t="s">
        <v>47</v>
      </c>
      <c r="D61">
        <v>0.103551678206712</v>
      </c>
      <c r="E61">
        <v>4.8887043548174101E-2</v>
      </c>
      <c r="F61">
        <f t="shared" si="0"/>
        <v>7.6219360877443049E-2</v>
      </c>
    </row>
    <row r="62" spans="1:6" x14ac:dyDescent="0.3">
      <c r="A62">
        <v>59</v>
      </c>
      <c r="B62" t="s">
        <v>16</v>
      </c>
      <c r="C62" t="s">
        <v>26</v>
      </c>
      <c r="D62">
        <v>-8.0066720266880997E-2</v>
      </c>
      <c r="E62">
        <v>3.9327613310453202E-2</v>
      </c>
      <c r="F62">
        <f t="shared" si="0"/>
        <v>-2.0369553478213898E-2</v>
      </c>
    </row>
    <row r="63" spans="1:6" x14ac:dyDescent="0.3">
      <c r="A63">
        <v>60</v>
      </c>
      <c r="B63" t="s">
        <v>16</v>
      </c>
      <c r="C63" t="s">
        <v>7</v>
      </c>
      <c r="D63">
        <v>-5.3177012708050801E-2</v>
      </c>
      <c r="E63">
        <v>-9.4843387373549498E-2</v>
      </c>
      <c r="F63">
        <f t="shared" si="0"/>
        <v>-7.4010200040800153E-2</v>
      </c>
    </row>
    <row r="64" spans="1:6" x14ac:dyDescent="0.3">
      <c r="A64">
        <v>61</v>
      </c>
      <c r="B64" t="s">
        <v>8</v>
      </c>
      <c r="C64" t="s">
        <v>7</v>
      </c>
      <c r="D64">
        <v>-6.7577262309049202E-2</v>
      </c>
      <c r="E64">
        <v>-5.7558950235800897E-2</v>
      </c>
      <c r="F64">
        <f t="shared" si="0"/>
        <v>-6.2568106272425053E-2</v>
      </c>
    </row>
    <row r="65" spans="1:6" x14ac:dyDescent="0.3">
      <c r="A65">
        <v>62</v>
      </c>
      <c r="B65" t="s">
        <v>8</v>
      </c>
      <c r="C65" t="s">
        <v>48</v>
      </c>
      <c r="D65">
        <v>3.1756447025787997E-2</v>
      </c>
      <c r="E65">
        <v>1.69840999363997E-2</v>
      </c>
      <c r="F65">
        <f t="shared" si="0"/>
        <v>2.437027348109385E-2</v>
      </c>
    </row>
    <row r="66" spans="1:6" x14ac:dyDescent="0.3">
      <c r="A66">
        <v>63</v>
      </c>
      <c r="B66" t="s">
        <v>8</v>
      </c>
      <c r="C66" t="s">
        <v>37</v>
      </c>
      <c r="D66">
        <v>7.9118716474865895E-3</v>
      </c>
      <c r="E66">
        <v>3.6094032376129501E-2</v>
      </c>
      <c r="F66">
        <f t="shared" si="0"/>
        <v>2.2002952011808047E-2</v>
      </c>
    </row>
    <row r="67" spans="1:6" x14ac:dyDescent="0.3">
      <c r="A67">
        <v>64</v>
      </c>
      <c r="B67" t="s">
        <v>8</v>
      </c>
      <c r="C67" t="s">
        <v>26</v>
      </c>
      <c r="D67">
        <v>5.9596942387769497E-2</v>
      </c>
      <c r="E67">
        <v>-1.89257077028308E-2</v>
      </c>
      <c r="F67">
        <f t="shared" si="0"/>
        <v>2.0335617342469348E-2</v>
      </c>
    </row>
    <row r="68" spans="1:6" x14ac:dyDescent="0.3">
      <c r="A68">
        <v>65</v>
      </c>
      <c r="B68" t="s">
        <v>9</v>
      </c>
      <c r="C68" t="s">
        <v>7</v>
      </c>
      <c r="D68">
        <v>-8.5968919875679506E-2</v>
      </c>
      <c r="E68">
        <v>-0.118091992367969</v>
      </c>
      <c r="F68">
        <f t="shared" ref="F68:F131" si="1">AVERAGE(D68:E68)</f>
        <v>-0.10203045612182425</v>
      </c>
    </row>
    <row r="69" spans="1:6" x14ac:dyDescent="0.3">
      <c r="A69">
        <v>66</v>
      </c>
      <c r="B69" t="s">
        <v>10</v>
      </c>
      <c r="C69" t="s">
        <v>7</v>
      </c>
      <c r="D69">
        <v>-7.3500678002711997E-2</v>
      </c>
      <c r="E69">
        <v>7.3148644594578302E-2</v>
      </c>
      <c r="F69">
        <f t="shared" si="1"/>
        <v>-1.7601670406684755E-4</v>
      </c>
    </row>
    <row r="70" spans="1:6" x14ac:dyDescent="0.3">
      <c r="A70">
        <v>67</v>
      </c>
      <c r="B70" t="s">
        <v>10</v>
      </c>
      <c r="C70" t="s">
        <v>37</v>
      </c>
      <c r="D70">
        <v>8.6488665954663799E-2</v>
      </c>
      <c r="E70">
        <v>-2.10563402253609E-2</v>
      </c>
      <c r="F70">
        <f t="shared" si="1"/>
        <v>3.2716162864651448E-2</v>
      </c>
    </row>
    <row r="71" spans="1:6" x14ac:dyDescent="0.3">
      <c r="A71">
        <v>68</v>
      </c>
      <c r="B71" t="s">
        <v>10</v>
      </c>
      <c r="C71" t="s">
        <v>49</v>
      </c>
      <c r="D71">
        <v>1.00042000168E-3</v>
      </c>
      <c r="E71">
        <v>-6.7917871671486593E-2</v>
      </c>
      <c r="F71">
        <f t="shared" si="1"/>
        <v>-3.3458725834903294E-2</v>
      </c>
    </row>
    <row r="72" spans="1:6" x14ac:dyDescent="0.3">
      <c r="A72">
        <v>69</v>
      </c>
      <c r="B72" t="s">
        <v>50</v>
      </c>
      <c r="C72" t="s">
        <v>48</v>
      </c>
      <c r="D72">
        <v>-1.5168156672626601E-2</v>
      </c>
      <c r="E72">
        <v>-1.73745334981339E-2</v>
      </c>
      <c r="F72">
        <f t="shared" si="1"/>
        <v>-1.6271345085380251E-2</v>
      </c>
    </row>
    <row r="73" spans="1:6" x14ac:dyDescent="0.3">
      <c r="A73">
        <v>70</v>
      </c>
      <c r="B73" t="s">
        <v>50</v>
      </c>
      <c r="C73" t="s">
        <v>24</v>
      </c>
      <c r="D73">
        <v>-8.4185040740162906E-2</v>
      </c>
      <c r="E73">
        <v>-0.14688001152004601</v>
      </c>
      <c r="F73">
        <f t="shared" si="1"/>
        <v>-0.11553252613010445</v>
      </c>
    </row>
    <row r="74" spans="1:6" x14ac:dyDescent="0.3">
      <c r="A74">
        <v>71</v>
      </c>
      <c r="B74" t="s">
        <v>50</v>
      </c>
      <c r="C74" t="s">
        <v>37</v>
      </c>
      <c r="D74">
        <v>0.115597998391993</v>
      </c>
      <c r="E74">
        <v>0.14932043728174901</v>
      </c>
      <c r="F74">
        <f t="shared" si="1"/>
        <v>0.13245921783687101</v>
      </c>
    </row>
    <row r="75" spans="1:6" x14ac:dyDescent="0.3">
      <c r="A75">
        <v>72</v>
      </c>
      <c r="B75" t="s">
        <v>50</v>
      </c>
      <c r="C75" t="s">
        <v>26</v>
      </c>
      <c r="D75">
        <v>1.1041004164016599E-3</v>
      </c>
      <c r="E75">
        <v>6.2169752679010697E-2</v>
      </c>
      <c r="F75">
        <f t="shared" si="1"/>
        <v>3.1636926547706182E-2</v>
      </c>
    </row>
    <row r="76" spans="1:6" x14ac:dyDescent="0.3">
      <c r="A76">
        <v>73</v>
      </c>
      <c r="B76" t="s">
        <v>48</v>
      </c>
      <c r="C76" t="s">
        <v>37</v>
      </c>
      <c r="D76">
        <v>-2.4300961203844802E-2</v>
      </c>
      <c r="E76">
        <v>-2.9696470785883101E-2</v>
      </c>
      <c r="F76">
        <f t="shared" si="1"/>
        <v>-2.6998715994863951E-2</v>
      </c>
    </row>
    <row r="77" spans="1:6" x14ac:dyDescent="0.3">
      <c r="A77">
        <v>74</v>
      </c>
      <c r="B77" t="s">
        <v>11</v>
      </c>
      <c r="C77" t="s">
        <v>51</v>
      </c>
      <c r="D77">
        <v>-4.6812955251820998E-2</v>
      </c>
      <c r="E77">
        <v>-7.4355177420709602E-3</v>
      </c>
      <c r="F77">
        <f t="shared" si="1"/>
        <v>-2.712423649694598E-2</v>
      </c>
    </row>
    <row r="78" spans="1:6" x14ac:dyDescent="0.3">
      <c r="A78">
        <v>75</v>
      </c>
      <c r="B78" t="s">
        <v>18</v>
      </c>
      <c r="C78" t="s">
        <v>51</v>
      </c>
      <c r="D78">
        <v>1.6216096864387401E-2</v>
      </c>
      <c r="E78">
        <v>-6.3785247140988502E-2</v>
      </c>
      <c r="F78">
        <f t="shared" si="1"/>
        <v>-2.378457513830055E-2</v>
      </c>
    </row>
    <row r="79" spans="1:6" x14ac:dyDescent="0.3">
      <c r="A79">
        <v>76</v>
      </c>
      <c r="B79" t="s">
        <v>18</v>
      </c>
      <c r="C79" t="s">
        <v>11</v>
      </c>
      <c r="D79">
        <v>0.32740844563378202</v>
      </c>
      <c r="E79">
        <v>0.31594081576326299</v>
      </c>
      <c r="F79">
        <f t="shared" si="1"/>
        <v>0.32167463069852253</v>
      </c>
    </row>
    <row r="80" spans="1:6" x14ac:dyDescent="0.3">
      <c r="A80">
        <v>77</v>
      </c>
      <c r="B80" t="s">
        <v>18</v>
      </c>
      <c r="C80" t="s">
        <v>19</v>
      </c>
      <c r="D80">
        <v>-0.33002714410857598</v>
      </c>
      <c r="E80">
        <v>-0.307531278125112</v>
      </c>
      <c r="F80">
        <f t="shared" si="1"/>
        <v>-0.31877921111684399</v>
      </c>
    </row>
    <row r="81" spans="1:6" x14ac:dyDescent="0.3">
      <c r="A81">
        <v>78</v>
      </c>
      <c r="B81" t="s">
        <v>36</v>
      </c>
      <c r="C81" t="s">
        <v>52</v>
      </c>
      <c r="D81">
        <v>0</v>
      </c>
      <c r="E81">
        <v>0</v>
      </c>
      <c r="F81">
        <f t="shared" si="1"/>
        <v>0</v>
      </c>
    </row>
    <row r="82" spans="1:6" x14ac:dyDescent="0.3">
      <c r="A82">
        <v>79</v>
      </c>
      <c r="B82" t="s">
        <v>39</v>
      </c>
      <c r="C82" t="s">
        <v>42</v>
      </c>
      <c r="D82">
        <v>0</v>
      </c>
      <c r="E82">
        <v>0</v>
      </c>
      <c r="F82">
        <f t="shared" si="1"/>
        <v>0</v>
      </c>
    </row>
    <row r="83" spans="1:6" x14ac:dyDescent="0.3">
      <c r="A83">
        <v>80</v>
      </c>
      <c r="B83" t="s">
        <v>33</v>
      </c>
      <c r="C83" t="s">
        <v>37</v>
      </c>
      <c r="D83">
        <v>0</v>
      </c>
      <c r="E83">
        <v>0</v>
      </c>
      <c r="F83">
        <f t="shared" si="1"/>
        <v>0</v>
      </c>
    </row>
    <row r="84" spans="1:6" x14ac:dyDescent="0.3">
      <c r="A84">
        <v>81</v>
      </c>
      <c r="B84" t="s">
        <v>53</v>
      </c>
      <c r="C84" t="s">
        <v>30</v>
      </c>
      <c r="D84">
        <v>0</v>
      </c>
      <c r="E84">
        <v>0</v>
      </c>
      <c r="F84">
        <f t="shared" si="1"/>
        <v>0</v>
      </c>
    </row>
    <row r="85" spans="1:6" x14ac:dyDescent="0.3">
      <c r="A85">
        <v>82</v>
      </c>
      <c r="B85" t="s">
        <v>24</v>
      </c>
      <c r="C85" t="s">
        <v>54</v>
      </c>
      <c r="D85">
        <v>0</v>
      </c>
      <c r="E85">
        <v>0</v>
      </c>
      <c r="F85">
        <f t="shared" si="1"/>
        <v>0</v>
      </c>
    </row>
    <row r="86" spans="1:6" x14ac:dyDescent="0.3">
      <c r="A86">
        <v>83</v>
      </c>
      <c r="B86" t="s">
        <v>44</v>
      </c>
      <c r="C86" t="s">
        <v>54</v>
      </c>
      <c r="D86">
        <v>0</v>
      </c>
      <c r="E86">
        <v>0</v>
      </c>
      <c r="F86">
        <f t="shared" si="1"/>
        <v>0</v>
      </c>
    </row>
    <row r="87" spans="1:6" x14ac:dyDescent="0.3">
      <c r="A87">
        <v>84</v>
      </c>
      <c r="B87" t="s">
        <v>51</v>
      </c>
      <c r="C87" t="s">
        <v>12</v>
      </c>
      <c r="D87">
        <v>0</v>
      </c>
      <c r="E87">
        <v>0</v>
      </c>
      <c r="F87">
        <f t="shared" si="1"/>
        <v>0</v>
      </c>
    </row>
    <row r="88" spans="1:6" x14ac:dyDescent="0.3">
      <c r="A88">
        <v>85</v>
      </c>
      <c r="B88" t="s">
        <v>12</v>
      </c>
      <c r="C88" t="s">
        <v>21</v>
      </c>
      <c r="D88">
        <v>0</v>
      </c>
      <c r="E88">
        <v>0</v>
      </c>
      <c r="F88">
        <f t="shared" si="1"/>
        <v>0</v>
      </c>
    </row>
    <row r="89" spans="1:6" x14ac:dyDescent="0.3">
      <c r="A89">
        <v>86</v>
      </c>
      <c r="B89" t="s">
        <v>4</v>
      </c>
      <c r="C89" t="s">
        <v>23</v>
      </c>
      <c r="D89">
        <v>0</v>
      </c>
      <c r="E89">
        <v>0</v>
      </c>
      <c r="F89">
        <f t="shared" si="1"/>
        <v>0</v>
      </c>
    </row>
    <row r="90" spans="1:6" x14ac:dyDescent="0.3">
      <c r="A90">
        <v>87</v>
      </c>
      <c r="B90" t="s">
        <v>55</v>
      </c>
      <c r="C90" t="s">
        <v>2</v>
      </c>
      <c r="D90">
        <v>0</v>
      </c>
      <c r="E90">
        <v>0</v>
      </c>
      <c r="F90">
        <f t="shared" si="1"/>
        <v>0</v>
      </c>
    </row>
    <row r="91" spans="1:6" x14ac:dyDescent="0.3">
      <c r="A91">
        <v>88</v>
      </c>
      <c r="B91" t="s">
        <v>56</v>
      </c>
      <c r="C91" t="s">
        <v>57</v>
      </c>
      <c r="D91">
        <v>-5.0348400162386203E-2</v>
      </c>
      <c r="E91">
        <v>-7.7388594391579593E-2</v>
      </c>
      <c r="F91">
        <f t="shared" si="1"/>
        <v>-6.3868497276982905E-2</v>
      </c>
    </row>
    <row r="92" spans="1:6" x14ac:dyDescent="0.3">
      <c r="A92">
        <v>89</v>
      </c>
      <c r="B92" t="s">
        <v>56</v>
      </c>
      <c r="C92" t="s">
        <v>58</v>
      </c>
      <c r="D92">
        <v>8.1717780382007499E-2</v>
      </c>
      <c r="E92">
        <v>2.1775178028206599E-2</v>
      </c>
      <c r="F92">
        <f t="shared" si="1"/>
        <v>5.1746479205107047E-2</v>
      </c>
    </row>
    <row r="93" spans="1:6" x14ac:dyDescent="0.3">
      <c r="A93">
        <v>90</v>
      </c>
      <c r="B93" t="s">
        <v>56</v>
      </c>
      <c r="C93" t="s">
        <v>59</v>
      </c>
      <c r="D93">
        <v>-8.6482854659993193E-3</v>
      </c>
      <c r="E93">
        <v>-5.7627115712288297E-2</v>
      </c>
      <c r="F93">
        <f t="shared" si="1"/>
        <v>-3.3137700589143809E-2</v>
      </c>
    </row>
    <row r="94" spans="1:6" x14ac:dyDescent="0.3">
      <c r="A94">
        <v>91</v>
      </c>
      <c r="B94" t="s">
        <v>56</v>
      </c>
      <c r="C94" t="s">
        <v>60</v>
      </c>
      <c r="D94">
        <v>4.7575060473588497E-2</v>
      </c>
      <c r="E94">
        <v>7.9289564478148E-3</v>
      </c>
      <c r="F94">
        <f t="shared" si="1"/>
        <v>2.7752008460701649E-2</v>
      </c>
    </row>
    <row r="95" spans="1:6" x14ac:dyDescent="0.3">
      <c r="A95">
        <v>92</v>
      </c>
      <c r="B95" t="s">
        <v>56</v>
      </c>
      <c r="C95" t="s">
        <v>61</v>
      </c>
      <c r="D95">
        <v>2.7801067268093099E-2</v>
      </c>
      <c r="E95">
        <v>1.06016722358217E-2</v>
      </c>
      <c r="F95">
        <f t="shared" si="1"/>
        <v>1.9201369751957399E-2</v>
      </c>
    </row>
    <row r="96" spans="1:6" x14ac:dyDescent="0.3">
      <c r="A96">
        <v>93</v>
      </c>
      <c r="B96" t="s">
        <v>56</v>
      </c>
      <c r="C96" t="s">
        <v>62</v>
      </c>
      <c r="D96">
        <v>6.9946137498559505E-2</v>
      </c>
      <c r="E96">
        <v>-0.12544917091049201</v>
      </c>
      <c r="F96">
        <f t="shared" si="1"/>
        <v>-2.7751516705966255E-2</v>
      </c>
    </row>
    <row r="97" spans="1:6" x14ac:dyDescent="0.3">
      <c r="A97">
        <v>94</v>
      </c>
      <c r="B97" t="s">
        <v>56</v>
      </c>
      <c r="C97" t="s">
        <v>31</v>
      </c>
      <c r="D97">
        <v>-2.19054243768028E-2</v>
      </c>
      <c r="E97">
        <v>0.131137018416776</v>
      </c>
      <c r="F97">
        <f t="shared" si="1"/>
        <v>5.4615797019986596E-2</v>
      </c>
    </row>
    <row r="98" spans="1:6" x14ac:dyDescent="0.3">
      <c r="A98">
        <v>95</v>
      </c>
      <c r="B98" t="s">
        <v>56</v>
      </c>
      <c r="C98" t="s">
        <v>63</v>
      </c>
      <c r="D98">
        <v>1.6947603101285E-2</v>
      </c>
      <c r="E98">
        <v>4.98185020993646E-2</v>
      </c>
      <c r="F98">
        <f t="shared" si="1"/>
        <v>3.33830526003248E-2</v>
      </c>
    </row>
    <row r="99" spans="1:6" x14ac:dyDescent="0.3">
      <c r="A99">
        <v>96</v>
      </c>
      <c r="B99" t="s">
        <v>56</v>
      </c>
      <c r="C99" t="s">
        <v>64</v>
      </c>
      <c r="D99">
        <v>-1.9899071747343702E-2</v>
      </c>
      <c r="E99">
        <v>4.3221604180226698E-2</v>
      </c>
      <c r="F99">
        <f t="shared" si="1"/>
        <v>1.1661266216441498E-2</v>
      </c>
    </row>
    <row r="100" spans="1:6" x14ac:dyDescent="0.3">
      <c r="A100">
        <v>97</v>
      </c>
      <c r="B100" t="s">
        <v>49</v>
      </c>
      <c r="C100" t="s">
        <v>65</v>
      </c>
      <c r="D100">
        <v>3.8488822614909497E-2</v>
      </c>
      <c r="E100">
        <v>2.76021293233083E-2</v>
      </c>
      <c r="F100">
        <f t="shared" si="1"/>
        <v>3.3045475969108895E-2</v>
      </c>
    </row>
    <row r="101" spans="1:6" x14ac:dyDescent="0.3">
      <c r="A101">
        <v>98</v>
      </c>
      <c r="B101" t="s">
        <v>49</v>
      </c>
      <c r="C101" t="s">
        <v>66</v>
      </c>
      <c r="D101">
        <v>1.6954194117264499E-2</v>
      </c>
      <c r="E101">
        <v>7.17859696053402E-2</v>
      </c>
      <c r="F101">
        <f t="shared" si="1"/>
        <v>4.4370081861302348E-2</v>
      </c>
    </row>
    <row r="102" spans="1:6" x14ac:dyDescent="0.3">
      <c r="A102">
        <v>99</v>
      </c>
      <c r="B102" t="s">
        <v>49</v>
      </c>
      <c r="C102" t="s">
        <v>67</v>
      </c>
      <c r="D102">
        <v>6.4358842789105303E-3</v>
      </c>
      <c r="E102">
        <v>4.9821181258486801E-2</v>
      </c>
      <c r="F102">
        <f t="shared" si="1"/>
        <v>2.8128532768698665E-2</v>
      </c>
    </row>
    <row r="103" spans="1:6" x14ac:dyDescent="0.3">
      <c r="A103">
        <v>100</v>
      </c>
      <c r="B103" t="s">
        <v>49</v>
      </c>
      <c r="C103" t="s">
        <v>68</v>
      </c>
      <c r="D103">
        <v>1.5925981918202901E-2</v>
      </c>
      <c r="E103">
        <v>2.4094918314873998E-2</v>
      </c>
      <c r="F103">
        <f t="shared" si="1"/>
        <v>2.0010450116538452E-2</v>
      </c>
    </row>
    <row r="104" spans="1:6" x14ac:dyDescent="0.3">
      <c r="A104">
        <v>101</v>
      </c>
      <c r="B104" t="s">
        <v>49</v>
      </c>
      <c r="C104" t="s">
        <v>69</v>
      </c>
      <c r="D104">
        <v>3.0522573801011001E-2</v>
      </c>
      <c r="E104">
        <v>-1.5911734141063501E-2</v>
      </c>
      <c r="F104">
        <f t="shared" si="1"/>
        <v>7.3054198299737499E-3</v>
      </c>
    </row>
    <row r="105" spans="1:6" x14ac:dyDescent="0.3">
      <c r="A105">
        <v>102</v>
      </c>
      <c r="B105" t="s">
        <v>37</v>
      </c>
      <c r="C105" t="s">
        <v>70</v>
      </c>
      <c r="D105">
        <v>3.7672615769551603E-2</v>
      </c>
      <c r="E105">
        <v>-2.0958517345824299E-2</v>
      </c>
      <c r="F105">
        <f t="shared" si="1"/>
        <v>8.3570492118636517E-3</v>
      </c>
    </row>
    <row r="106" spans="1:6" x14ac:dyDescent="0.3">
      <c r="A106">
        <v>103</v>
      </c>
      <c r="B106" t="s">
        <v>37</v>
      </c>
      <c r="C106" t="s">
        <v>71</v>
      </c>
      <c r="D106">
        <v>0</v>
      </c>
      <c r="E106">
        <v>0</v>
      </c>
      <c r="F106">
        <f t="shared" si="1"/>
        <v>0</v>
      </c>
    </row>
    <row r="107" spans="1:6" x14ac:dyDescent="0.3">
      <c r="A107">
        <v>104</v>
      </c>
      <c r="B107" t="s">
        <v>30</v>
      </c>
      <c r="C107" t="s">
        <v>59</v>
      </c>
      <c r="D107">
        <v>-4.8736743463754201E-2</v>
      </c>
      <c r="E107">
        <v>-6.6819677731631E-3</v>
      </c>
      <c r="F107">
        <f t="shared" si="1"/>
        <v>-2.770935561845865E-2</v>
      </c>
    </row>
    <row r="108" spans="1:6" x14ac:dyDescent="0.3">
      <c r="A108">
        <v>105</v>
      </c>
      <c r="B108" t="s">
        <v>30</v>
      </c>
      <c r="C108" t="s">
        <v>64</v>
      </c>
      <c r="D108">
        <v>0</v>
      </c>
      <c r="E108">
        <v>0</v>
      </c>
      <c r="F108">
        <f t="shared" si="1"/>
        <v>0</v>
      </c>
    </row>
    <row r="109" spans="1:6" x14ac:dyDescent="0.3">
      <c r="A109">
        <v>106</v>
      </c>
      <c r="B109" t="s">
        <v>72</v>
      </c>
      <c r="C109" t="s">
        <v>65</v>
      </c>
      <c r="D109">
        <v>5.8382860760790101E-3</v>
      </c>
      <c r="E109">
        <v>0.120348975075597</v>
      </c>
      <c r="F109">
        <f t="shared" si="1"/>
        <v>6.3093630575838E-2</v>
      </c>
    </row>
    <row r="110" spans="1:6" x14ac:dyDescent="0.3">
      <c r="A110">
        <v>107</v>
      </c>
      <c r="B110" t="s">
        <v>72</v>
      </c>
      <c r="C110" t="s">
        <v>66</v>
      </c>
      <c r="D110">
        <v>2.3953221540959E-2</v>
      </c>
      <c r="E110">
        <v>-3.5036983552859002E-2</v>
      </c>
      <c r="F110">
        <f t="shared" si="1"/>
        <v>-5.5418810059500011E-3</v>
      </c>
    </row>
    <row r="111" spans="1:6" x14ac:dyDescent="0.3">
      <c r="A111">
        <v>108</v>
      </c>
      <c r="B111" t="s">
        <v>72</v>
      </c>
      <c r="C111" t="s">
        <v>67</v>
      </c>
      <c r="D111">
        <v>-4.1025014559437502E-2</v>
      </c>
      <c r="E111">
        <v>0.12921841373064799</v>
      </c>
      <c r="F111">
        <f t="shared" si="1"/>
        <v>4.4096699585605248E-2</v>
      </c>
    </row>
    <row r="112" spans="1:6" x14ac:dyDescent="0.3">
      <c r="A112">
        <v>109</v>
      </c>
      <c r="B112" t="s">
        <v>72</v>
      </c>
      <c r="C112" t="s">
        <v>68</v>
      </c>
      <c r="D112">
        <v>-3.4260364394845401E-2</v>
      </c>
      <c r="E112">
        <v>-5.6385118043654502E-2</v>
      </c>
      <c r="F112">
        <f t="shared" si="1"/>
        <v>-4.5322741219249951E-2</v>
      </c>
    </row>
    <row r="113" spans="1:6" x14ac:dyDescent="0.3">
      <c r="A113">
        <v>110</v>
      </c>
      <c r="B113" t="s">
        <v>72</v>
      </c>
      <c r="C113" t="s">
        <v>69</v>
      </c>
      <c r="D113">
        <v>2.2382745844799799E-2</v>
      </c>
      <c r="E113">
        <v>-2.8924820094115899E-2</v>
      </c>
      <c r="F113">
        <f t="shared" si="1"/>
        <v>-3.2710371246580505E-3</v>
      </c>
    </row>
    <row r="114" spans="1:6" x14ac:dyDescent="0.3">
      <c r="A114">
        <v>111</v>
      </c>
      <c r="B114" t="s">
        <v>21</v>
      </c>
      <c r="C114" t="s">
        <v>53</v>
      </c>
      <c r="D114">
        <v>0</v>
      </c>
      <c r="E114">
        <v>0</v>
      </c>
      <c r="F114">
        <f t="shared" si="1"/>
        <v>0</v>
      </c>
    </row>
    <row r="115" spans="1:6" x14ac:dyDescent="0.3">
      <c r="A115">
        <v>112</v>
      </c>
      <c r="B115" t="s">
        <v>21</v>
      </c>
      <c r="C115" t="s">
        <v>38</v>
      </c>
      <c r="D115">
        <v>8.00271681086724E-2</v>
      </c>
      <c r="E115">
        <v>1.7107076428305699E-2</v>
      </c>
      <c r="F115">
        <f t="shared" si="1"/>
        <v>4.8567122268489048E-2</v>
      </c>
    </row>
    <row r="116" spans="1:6" x14ac:dyDescent="0.3">
      <c r="A116">
        <v>113</v>
      </c>
      <c r="B116" t="s">
        <v>21</v>
      </c>
      <c r="C116" t="s">
        <v>41</v>
      </c>
      <c r="D116">
        <v>-8.00271681086724E-2</v>
      </c>
      <c r="E116">
        <v>-1.7107076428305699E-2</v>
      </c>
      <c r="F116">
        <f t="shared" si="1"/>
        <v>-4.8567122268489048E-2</v>
      </c>
    </row>
    <row r="117" spans="1:6" x14ac:dyDescent="0.3">
      <c r="A117">
        <v>114</v>
      </c>
      <c r="B117" t="s">
        <v>17</v>
      </c>
      <c r="C117" t="s">
        <v>47</v>
      </c>
      <c r="D117">
        <v>-4.0531362125448397E-4</v>
      </c>
      <c r="E117">
        <v>3.0265369061476199E-2</v>
      </c>
      <c r="F117">
        <f t="shared" si="1"/>
        <v>1.4930027720110858E-2</v>
      </c>
    </row>
    <row r="118" spans="1:6" x14ac:dyDescent="0.3">
      <c r="A118">
        <v>115</v>
      </c>
      <c r="B118" t="s">
        <v>17</v>
      </c>
      <c r="C118" t="s">
        <v>26</v>
      </c>
      <c r="D118">
        <v>1.14116616466465E-2</v>
      </c>
      <c r="E118">
        <v>9.6799107196428695E-3</v>
      </c>
      <c r="F118">
        <f t="shared" si="1"/>
        <v>1.0545786183144685E-2</v>
      </c>
    </row>
    <row r="119" spans="1:6" x14ac:dyDescent="0.3">
      <c r="A119">
        <v>116</v>
      </c>
      <c r="B119" t="s">
        <v>17</v>
      </c>
      <c r="C119" t="s">
        <v>7</v>
      </c>
      <c r="D119">
        <v>1.17232788931155E-2</v>
      </c>
      <c r="E119">
        <v>-3.7931095724382802E-2</v>
      </c>
      <c r="F119">
        <f t="shared" si="1"/>
        <v>-1.310390841563365E-2</v>
      </c>
    </row>
    <row r="120" spans="1:6" x14ac:dyDescent="0.3">
      <c r="A120">
        <v>117</v>
      </c>
      <c r="B120" t="s">
        <v>73</v>
      </c>
      <c r="C120" t="s">
        <v>62</v>
      </c>
      <c r="D120">
        <v>-3.74215256861027E-2</v>
      </c>
      <c r="E120">
        <v>8.2202248808995199E-3</v>
      </c>
      <c r="F120">
        <f t="shared" si="1"/>
        <v>-1.4600650402601591E-2</v>
      </c>
    </row>
    <row r="121" spans="1:6" x14ac:dyDescent="0.3">
      <c r="A121">
        <v>118</v>
      </c>
      <c r="B121" t="s">
        <v>73</v>
      </c>
      <c r="C121" t="s">
        <v>31</v>
      </c>
      <c r="D121">
        <v>3.74215256861027E-2</v>
      </c>
      <c r="E121">
        <v>-8.2202248808995199E-3</v>
      </c>
      <c r="F121">
        <f t="shared" si="1"/>
        <v>1.4600650402601591E-2</v>
      </c>
    </row>
    <row r="122" spans="1:6" x14ac:dyDescent="0.3">
      <c r="A122">
        <v>119</v>
      </c>
      <c r="B122" t="s">
        <v>52</v>
      </c>
      <c r="C122" t="s">
        <v>25</v>
      </c>
      <c r="D122">
        <v>-8.6171192684770706E-2</v>
      </c>
      <c r="E122">
        <v>2.5055236220944799E-2</v>
      </c>
      <c r="F122">
        <f t="shared" si="1"/>
        <v>-3.0557978231912954E-2</v>
      </c>
    </row>
    <row r="123" spans="1:6" x14ac:dyDescent="0.3">
      <c r="A123">
        <v>120</v>
      </c>
      <c r="B123" t="s">
        <v>52</v>
      </c>
      <c r="C123" t="s">
        <v>24</v>
      </c>
      <c r="D123">
        <v>5.7122148488593901E-3</v>
      </c>
      <c r="E123">
        <v>-2.75999183996735E-2</v>
      </c>
      <c r="F123">
        <f t="shared" si="1"/>
        <v>-1.0943851775407056E-2</v>
      </c>
    </row>
    <row r="124" spans="1:6" x14ac:dyDescent="0.3">
      <c r="A124">
        <v>121</v>
      </c>
      <c r="B124" t="s">
        <v>52</v>
      </c>
      <c r="C124" t="s">
        <v>54</v>
      </c>
      <c r="D124">
        <v>6.8495889983559904E-2</v>
      </c>
      <c r="E124">
        <v>7.2099168396673498E-3</v>
      </c>
      <c r="F124">
        <f t="shared" si="1"/>
        <v>3.7852903411613625E-2</v>
      </c>
    </row>
    <row r="125" spans="1:6" x14ac:dyDescent="0.3">
      <c r="A125">
        <v>122</v>
      </c>
      <c r="B125" t="s">
        <v>20</v>
      </c>
      <c r="C125" t="s">
        <v>40</v>
      </c>
      <c r="D125">
        <v>2.1816567266268998E-2</v>
      </c>
      <c r="E125">
        <v>-4.0214176856707397E-2</v>
      </c>
      <c r="F125">
        <f t="shared" si="1"/>
        <v>-9.1988047952191992E-3</v>
      </c>
    </row>
    <row r="126" spans="1:6" x14ac:dyDescent="0.3">
      <c r="A126">
        <v>123</v>
      </c>
      <c r="B126" t="s">
        <v>2</v>
      </c>
      <c r="C126" t="s">
        <v>5</v>
      </c>
      <c r="D126">
        <v>-0.105517766071064</v>
      </c>
      <c r="E126">
        <v>-0.203189036756147</v>
      </c>
      <c r="F126">
        <f t="shared" si="1"/>
        <v>-0.15435340141360548</v>
      </c>
    </row>
    <row r="127" spans="1:6" x14ac:dyDescent="0.3">
      <c r="A127">
        <v>124</v>
      </c>
      <c r="B127" t="s">
        <v>3</v>
      </c>
      <c r="C127" t="s">
        <v>6</v>
      </c>
      <c r="D127">
        <v>0.571775407101628</v>
      </c>
      <c r="E127">
        <v>0.52325988503954002</v>
      </c>
      <c r="F127">
        <f t="shared" si="1"/>
        <v>0.54751764607058395</v>
      </c>
    </row>
    <row r="128" spans="1:6" x14ac:dyDescent="0.3">
      <c r="A128">
        <v>125</v>
      </c>
      <c r="B128" t="s">
        <v>5</v>
      </c>
      <c r="C128" t="s">
        <v>13</v>
      </c>
      <c r="D128">
        <v>0.31689246756987</v>
      </c>
      <c r="E128">
        <v>0.15933346933387699</v>
      </c>
      <c r="F128">
        <f t="shared" si="1"/>
        <v>0.23811296845187349</v>
      </c>
    </row>
    <row r="129" spans="1:6" x14ac:dyDescent="0.3">
      <c r="A129">
        <v>126</v>
      </c>
      <c r="B129" t="s">
        <v>14</v>
      </c>
      <c r="C129" t="s">
        <v>50</v>
      </c>
      <c r="D129">
        <v>-5.5205020820083203E-3</v>
      </c>
      <c r="E129">
        <v>-9.2865779463117804E-2</v>
      </c>
      <c r="F129">
        <f t="shared" si="1"/>
        <v>-4.9193140772563065E-2</v>
      </c>
    </row>
    <row r="130" spans="1:6" x14ac:dyDescent="0.3">
      <c r="A130">
        <v>127</v>
      </c>
      <c r="B130" t="s">
        <v>7</v>
      </c>
      <c r="C130" t="s">
        <v>50</v>
      </c>
      <c r="D130">
        <v>1.36531746126984E-3</v>
      </c>
      <c r="E130">
        <v>9.7752007008027997E-2</v>
      </c>
      <c r="F130">
        <f t="shared" si="1"/>
        <v>4.9558662234648922E-2</v>
      </c>
    </row>
    <row r="131" spans="1:6" x14ac:dyDescent="0.3">
      <c r="A131">
        <v>128</v>
      </c>
      <c r="B131" t="s">
        <v>46</v>
      </c>
      <c r="C131" t="s">
        <v>26</v>
      </c>
      <c r="D131">
        <v>2.9029172116688401E-2</v>
      </c>
      <c r="E131">
        <v>4.1808167232668903E-3</v>
      </c>
      <c r="F131">
        <f t="shared" si="1"/>
        <v>1.6604994419977644E-2</v>
      </c>
    </row>
    <row r="132" spans="1:6" x14ac:dyDescent="0.3">
      <c r="A132">
        <v>129</v>
      </c>
      <c r="B132" t="s">
        <v>9</v>
      </c>
      <c r="C132" t="s">
        <v>74</v>
      </c>
      <c r="D132">
        <v>8.5968919875679506E-2</v>
      </c>
      <c r="E132">
        <v>0.118091992367969</v>
      </c>
      <c r="F132">
        <f t="shared" ref="F132:F135" si="2">AVERAGE(D132:E132)</f>
        <v>0.10203045612182425</v>
      </c>
    </row>
    <row r="133" spans="1:6" x14ac:dyDescent="0.3">
      <c r="A133">
        <v>130</v>
      </c>
      <c r="B133" t="s">
        <v>48</v>
      </c>
      <c r="C133" t="s">
        <v>32</v>
      </c>
      <c r="D133">
        <v>2.4300961203844802E-2</v>
      </c>
      <c r="E133">
        <v>2.9696470785883101E-2</v>
      </c>
      <c r="F133">
        <f t="shared" si="2"/>
        <v>2.6998715994863951E-2</v>
      </c>
    </row>
    <row r="134" spans="1:6" x14ac:dyDescent="0.3">
      <c r="A134">
        <v>131</v>
      </c>
      <c r="B134" t="s">
        <v>11</v>
      </c>
      <c r="C134" t="s">
        <v>56</v>
      </c>
      <c r="D134">
        <v>4.6812955251820998E-2</v>
      </c>
      <c r="E134">
        <v>7.4355177420709602E-3</v>
      </c>
      <c r="F134">
        <f t="shared" si="2"/>
        <v>2.712423649694598E-2</v>
      </c>
    </row>
    <row r="135" spans="1:6" x14ac:dyDescent="0.3">
      <c r="A135">
        <v>132</v>
      </c>
      <c r="B135" t="s">
        <v>19</v>
      </c>
      <c r="C135" t="s">
        <v>7</v>
      </c>
      <c r="D135">
        <v>-5.0324937299749198E-2</v>
      </c>
      <c r="E135">
        <v>3.7359221436885699E-2</v>
      </c>
      <c r="F135">
        <f t="shared" si="2"/>
        <v>-6.4828579314317493E-3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11F7-C878-4FC9-9C09-64B01D376B2A}">
  <dimension ref="A1:O135"/>
  <sheetViews>
    <sheetView workbookViewId="0">
      <selection activeCell="H16" sqref="H16:J16"/>
    </sheetView>
  </sheetViews>
  <sheetFormatPr defaultRowHeight="14.4" x14ac:dyDescent="0.3"/>
  <cols>
    <col min="1" max="1" width="4" bestFit="1" customWidth="1"/>
    <col min="2" max="3" width="33.77734375" bestFit="1" customWidth="1"/>
    <col min="4" max="5" width="20.77734375" customWidth="1"/>
    <col min="6" max="6" width="6.44140625" bestFit="1" customWidth="1"/>
  </cols>
  <sheetData>
    <row r="1" spans="1:15" x14ac:dyDescent="0.3">
      <c r="A1" s="6" t="s">
        <v>103</v>
      </c>
      <c r="B1" s="6"/>
      <c r="C1" s="6"/>
      <c r="D1" s="6"/>
      <c r="E1" s="6"/>
      <c r="F1" s="6"/>
    </row>
    <row r="2" spans="1:15" s="7" customFormat="1" ht="28.8" x14ac:dyDescent="0.3">
      <c r="A2" s="7" t="s">
        <v>101</v>
      </c>
      <c r="B2" s="5" t="s">
        <v>0</v>
      </c>
      <c r="C2" s="5" t="s">
        <v>1</v>
      </c>
      <c r="D2" s="7" t="s">
        <v>86</v>
      </c>
      <c r="E2" s="7" t="s">
        <v>87</v>
      </c>
      <c r="F2" s="7" t="s">
        <v>85</v>
      </c>
    </row>
    <row r="3" spans="1:15" x14ac:dyDescent="0.3">
      <c r="A3">
        <v>0</v>
      </c>
      <c r="B3" t="s">
        <v>2</v>
      </c>
      <c r="C3" t="s">
        <v>3</v>
      </c>
      <c r="D3">
        <v>-7.8748346993387897E-2</v>
      </c>
      <c r="E3">
        <v>-6.5625766503065994E-2</v>
      </c>
      <c r="F3">
        <f>AVERAGE(D3:E3)</f>
        <v>-7.2187056748226952E-2</v>
      </c>
      <c r="H3" s="8" t="s">
        <v>88</v>
      </c>
      <c r="I3" t="s">
        <v>94</v>
      </c>
    </row>
    <row r="4" spans="1:15" x14ac:dyDescent="0.3">
      <c r="A4">
        <v>1</v>
      </c>
      <c r="B4" t="s">
        <v>3</v>
      </c>
      <c r="C4" t="s">
        <v>4</v>
      </c>
      <c r="D4">
        <v>0.14404473617894401</v>
      </c>
      <c r="E4">
        <v>0.142478201912807</v>
      </c>
      <c r="F4">
        <f t="shared" ref="F4:F67" si="0">AVERAGE(D4:E4)</f>
        <v>0.1432614690458755</v>
      </c>
      <c r="H4" s="4">
        <f>AVERAGE(D3:E135)</f>
        <v>-4.7332787015179623E-3</v>
      </c>
      <c r="I4">
        <f>H10/H12</f>
        <v>27.983427338629888</v>
      </c>
    </row>
    <row r="5" spans="1:15" x14ac:dyDescent="0.3">
      <c r="A5">
        <v>2</v>
      </c>
      <c r="B5" t="s">
        <v>5</v>
      </c>
      <c r="C5" t="s">
        <v>4</v>
      </c>
      <c r="D5">
        <v>0.103737918951675</v>
      </c>
      <c r="E5">
        <v>9.1667118668474601E-2</v>
      </c>
      <c r="F5">
        <f t="shared" si="0"/>
        <v>9.7702518810074801E-2</v>
      </c>
      <c r="H5" s="4" t="s">
        <v>89</v>
      </c>
      <c r="I5" t="s">
        <v>100</v>
      </c>
    </row>
    <row r="6" spans="1:15" x14ac:dyDescent="0.3">
      <c r="A6">
        <v>3</v>
      </c>
      <c r="B6" t="s">
        <v>6</v>
      </c>
      <c r="C6" t="s">
        <v>7</v>
      </c>
      <c r="D6">
        <v>4.72640610562442E-2</v>
      </c>
      <c r="E6">
        <v>1.49462997851991E-2</v>
      </c>
      <c r="F6">
        <f t="shared" si="0"/>
        <v>3.1105180420721648E-2</v>
      </c>
      <c r="H6" s="4" cm="1">
        <f t="array" ref="H6">2*SUMPRODUCT((F3:F135-$H$4)^2)</f>
        <v>4.1856639970801277</v>
      </c>
      <c r="I6">
        <f>COUNT(A3:A135)-1</f>
        <v>132</v>
      </c>
    </row>
    <row r="7" spans="1:15" x14ac:dyDescent="0.3">
      <c r="A7">
        <v>4</v>
      </c>
      <c r="B7" t="s">
        <v>6</v>
      </c>
      <c r="C7" t="s">
        <v>8</v>
      </c>
      <c r="D7">
        <v>-9.5459901839607293E-3</v>
      </c>
      <c r="E7">
        <v>-2.4115584462337799E-2</v>
      </c>
      <c r="F7">
        <f t="shared" si="0"/>
        <v>-1.6830787323149264E-2</v>
      </c>
      <c r="H7" s="4" t="s">
        <v>90</v>
      </c>
      <c r="I7" t="s">
        <v>95</v>
      </c>
    </row>
    <row r="8" spans="1:15" x14ac:dyDescent="0.3">
      <c r="A8">
        <v>5</v>
      </c>
      <c r="B8" t="s">
        <v>6</v>
      </c>
      <c r="C8" t="s">
        <v>9</v>
      </c>
      <c r="D8">
        <v>-4.6704378817515199E-2</v>
      </c>
      <c r="E8">
        <v>3.1235836943347701E-2</v>
      </c>
      <c r="F8">
        <f t="shared" si="0"/>
        <v>-7.7342709370837488E-3</v>
      </c>
      <c r="H8" s="4" cm="1">
        <f t="array" ref="H8">SUMPRODUCT((D3:D135-E3:E135)^2)</f>
        <v>0.30141937381585027</v>
      </c>
      <c r="I8">
        <f>_xlfn.F.INV.RT(0.025,I6,I6)</f>
        <v>1.4086951989652245</v>
      </c>
    </row>
    <row r="9" spans="1:15" x14ac:dyDescent="0.3">
      <c r="A9">
        <v>6</v>
      </c>
      <c r="B9" t="s">
        <v>6</v>
      </c>
      <c r="C9" t="s">
        <v>10</v>
      </c>
      <c r="D9">
        <v>-3.85758343033372E-3</v>
      </c>
      <c r="E9">
        <v>-3.1416509666038601E-2</v>
      </c>
      <c r="F9">
        <f t="shared" si="0"/>
        <v>-1.763704654818616E-2</v>
      </c>
      <c r="H9" s="4" t="s">
        <v>92</v>
      </c>
      <c r="I9" t="s">
        <v>96</v>
      </c>
    </row>
    <row r="10" spans="1:15" x14ac:dyDescent="0.3">
      <c r="A10">
        <v>7</v>
      </c>
      <c r="B10" t="s">
        <v>6</v>
      </c>
      <c r="C10" t="s">
        <v>11</v>
      </c>
      <c r="D10">
        <v>1.7100260401041598E-2</v>
      </c>
      <c r="E10">
        <v>5.6564674258696997E-2</v>
      </c>
      <c r="F10">
        <f t="shared" si="0"/>
        <v>3.6832467329869299E-2</v>
      </c>
      <c r="H10" s="4">
        <f>H6/(COUNT(A3:A135)-1)</f>
        <v>3.1709575735455513E-2</v>
      </c>
      <c r="I10">
        <f>_xlfn.F.INV(0.025,I6,I6)</f>
        <v>0.70987677159300544</v>
      </c>
    </row>
    <row r="11" spans="1:15" x14ac:dyDescent="0.3">
      <c r="A11">
        <v>8</v>
      </c>
      <c r="B11" t="s">
        <v>6</v>
      </c>
      <c r="C11" t="s">
        <v>12</v>
      </c>
      <c r="D11">
        <v>-1.32881811527246E-2</v>
      </c>
      <c r="E11">
        <v>-2.11085644342577E-3</v>
      </c>
      <c r="F11">
        <f t="shared" si="0"/>
        <v>-7.6995187980751847E-3</v>
      </c>
      <c r="H11" s="4" t="s">
        <v>91</v>
      </c>
    </row>
    <row r="12" spans="1:15" x14ac:dyDescent="0.3">
      <c r="A12">
        <v>9</v>
      </c>
      <c r="B12" t="s">
        <v>13</v>
      </c>
      <c r="C12" t="s">
        <v>7</v>
      </c>
      <c r="D12">
        <v>-2.57658310633242E-2</v>
      </c>
      <c r="E12">
        <v>2.75997263989055E-2</v>
      </c>
      <c r="F12">
        <f t="shared" si="0"/>
        <v>9.1694766779065046E-4</v>
      </c>
      <c r="H12" s="4">
        <f>H8/(2*(COUNT(A3:A135)))</f>
        <v>1.1331555406610913E-3</v>
      </c>
    </row>
    <row r="13" spans="1:15" x14ac:dyDescent="0.3">
      <c r="A13">
        <v>10</v>
      </c>
      <c r="B13" t="s">
        <v>13</v>
      </c>
      <c r="C13" t="s">
        <v>14</v>
      </c>
      <c r="D13">
        <v>5.30159240636962E-2</v>
      </c>
      <c r="E13">
        <v>1.7748262993051898E-2</v>
      </c>
      <c r="F13">
        <f t="shared" si="0"/>
        <v>3.5382093528374049E-2</v>
      </c>
    </row>
    <row r="14" spans="1:15" x14ac:dyDescent="0.3">
      <c r="A14">
        <v>11</v>
      </c>
      <c r="B14" t="s">
        <v>13</v>
      </c>
      <c r="C14" t="s">
        <v>15</v>
      </c>
      <c r="D14">
        <v>-2.1688406753627001E-2</v>
      </c>
      <c r="E14">
        <v>-1.10123000492001E-2</v>
      </c>
      <c r="F14">
        <f t="shared" si="0"/>
        <v>-1.635035340141355E-2</v>
      </c>
      <c r="H14" s="2" t="s">
        <v>99</v>
      </c>
      <c r="I14" s="2"/>
      <c r="J14" s="2"/>
      <c r="K14" s="2"/>
      <c r="L14" s="2"/>
      <c r="M14" s="2"/>
      <c r="N14" s="2"/>
      <c r="O14" s="2"/>
    </row>
    <row r="15" spans="1:15" x14ac:dyDescent="0.3">
      <c r="A15">
        <v>12</v>
      </c>
      <c r="B15" t="s">
        <v>13</v>
      </c>
      <c r="C15" t="s">
        <v>16</v>
      </c>
      <c r="D15">
        <v>-9.1005484021935996E-3</v>
      </c>
      <c r="E15">
        <v>-1.31220044880179E-2</v>
      </c>
      <c r="F15">
        <f t="shared" si="0"/>
        <v>-1.1111276445105751E-2</v>
      </c>
      <c r="H15" s="4" t="s">
        <v>93</v>
      </c>
      <c r="I15" t="s">
        <v>97</v>
      </c>
      <c r="J15" t="s">
        <v>98</v>
      </c>
    </row>
    <row r="16" spans="1:15" x14ac:dyDescent="0.3">
      <c r="A16">
        <v>13</v>
      </c>
      <c r="B16" t="s">
        <v>13</v>
      </c>
      <c r="C16" t="s">
        <v>17</v>
      </c>
      <c r="D16">
        <v>-3.3834951339805297E-2</v>
      </c>
      <c r="E16">
        <v>-2.7082572330289299E-2</v>
      </c>
      <c r="F16">
        <f t="shared" si="0"/>
        <v>-3.0458761835047296E-2</v>
      </c>
      <c r="H16" s="3">
        <f>(H10-H12)/(H10+H12)</f>
        <v>0.93099504842429914</v>
      </c>
      <c r="I16" s="3">
        <f>(I4/I8 - 1) / (I4/I8 + 1)</f>
        <v>0.90414471107601169</v>
      </c>
      <c r="J16" s="3">
        <f>(I4/I10 - 1) / (I4/I10 + 1)</f>
        <v>0.95051969136310865</v>
      </c>
    </row>
    <row r="17" spans="1:6" x14ac:dyDescent="0.3">
      <c r="A17">
        <v>14</v>
      </c>
      <c r="B17" t="s">
        <v>13</v>
      </c>
      <c r="C17" t="s">
        <v>18</v>
      </c>
      <c r="D17">
        <v>-9.0663722654890592E-3</v>
      </c>
      <c r="E17">
        <v>-0.121297829191316</v>
      </c>
      <c r="F17">
        <f t="shared" si="0"/>
        <v>-6.5182100728402526E-2</v>
      </c>
    </row>
    <row r="18" spans="1:6" x14ac:dyDescent="0.3">
      <c r="A18">
        <v>15</v>
      </c>
      <c r="B18" t="s">
        <v>13</v>
      </c>
      <c r="C18" t="s">
        <v>12</v>
      </c>
      <c r="D18">
        <v>-7.7483253933015694E-2</v>
      </c>
      <c r="E18">
        <v>-7.1240924963699801E-3</v>
      </c>
      <c r="F18">
        <f t="shared" si="0"/>
        <v>-4.230367321469284E-2</v>
      </c>
    </row>
    <row r="19" spans="1:6" x14ac:dyDescent="0.3">
      <c r="A19">
        <v>16</v>
      </c>
      <c r="B19" t="s">
        <v>15</v>
      </c>
      <c r="C19" t="s">
        <v>8</v>
      </c>
      <c r="D19">
        <v>-6.6592874371497399E-2</v>
      </c>
      <c r="E19">
        <v>-0.101125172500689</v>
      </c>
      <c r="F19">
        <f t="shared" si="0"/>
        <v>-8.3859023436093194E-2</v>
      </c>
    </row>
    <row r="20" spans="1:6" x14ac:dyDescent="0.3">
      <c r="A20">
        <v>17</v>
      </c>
      <c r="B20" t="s">
        <v>15</v>
      </c>
      <c r="C20" t="s">
        <v>9</v>
      </c>
      <c r="D20">
        <v>-2.2245208980835901E-2</v>
      </c>
      <c r="E20">
        <v>4.2361033444133701E-2</v>
      </c>
      <c r="F20">
        <f t="shared" si="0"/>
        <v>1.00579122316489E-2</v>
      </c>
    </row>
    <row r="21" spans="1:6" x14ac:dyDescent="0.3">
      <c r="A21">
        <v>18</v>
      </c>
      <c r="B21" t="s">
        <v>15</v>
      </c>
      <c r="C21" t="s">
        <v>10</v>
      </c>
      <c r="D21">
        <v>7.3171108684434702E-2</v>
      </c>
      <c r="E21">
        <v>3.1653054612218401E-2</v>
      </c>
      <c r="F21">
        <f t="shared" si="0"/>
        <v>5.2412081648326551E-2</v>
      </c>
    </row>
    <row r="22" spans="1:6" x14ac:dyDescent="0.3">
      <c r="A22">
        <v>19</v>
      </c>
      <c r="B22" t="s">
        <v>19</v>
      </c>
      <c r="C22" t="s">
        <v>20</v>
      </c>
      <c r="D22">
        <v>-1.6381601526406098E-2</v>
      </c>
      <c r="E22">
        <v>2.91781647126588E-2</v>
      </c>
      <c r="F22">
        <f t="shared" si="0"/>
        <v>6.3982815931263506E-3</v>
      </c>
    </row>
    <row r="23" spans="1:6" x14ac:dyDescent="0.3">
      <c r="A23">
        <v>20</v>
      </c>
      <c r="B23" t="s">
        <v>20</v>
      </c>
      <c r="C23" t="s">
        <v>21</v>
      </c>
      <c r="D23">
        <v>7.7891831567326195E-2</v>
      </c>
      <c r="E23">
        <v>2.9498805995223899E-2</v>
      </c>
      <c r="F23">
        <f t="shared" si="0"/>
        <v>5.369531878127505E-2</v>
      </c>
    </row>
    <row r="24" spans="1:6" x14ac:dyDescent="0.3">
      <c r="A24">
        <v>21</v>
      </c>
      <c r="B24" t="s">
        <v>14</v>
      </c>
      <c r="C24" t="s">
        <v>22</v>
      </c>
      <c r="D24">
        <v>3.04749378997516E-2</v>
      </c>
      <c r="E24">
        <v>-6.9627734510937997E-2</v>
      </c>
      <c r="F24">
        <f t="shared" si="0"/>
        <v>-1.9576398305593198E-2</v>
      </c>
    </row>
    <row r="25" spans="1:6" x14ac:dyDescent="0.3">
      <c r="A25">
        <v>22</v>
      </c>
      <c r="B25" t="s">
        <v>22</v>
      </c>
      <c r="C25" t="s">
        <v>23</v>
      </c>
      <c r="D25">
        <v>8.6205464821859298E-3</v>
      </c>
      <c r="E25">
        <v>5.6853155412621599E-2</v>
      </c>
      <c r="F25">
        <f t="shared" si="0"/>
        <v>3.2736850947403764E-2</v>
      </c>
    </row>
    <row r="26" spans="1:6" x14ac:dyDescent="0.3">
      <c r="A26">
        <v>23</v>
      </c>
      <c r="B26" t="s">
        <v>22</v>
      </c>
      <c r="C26" t="s">
        <v>24</v>
      </c>
      <c r="D26">
        <v>2.5136740546962098E-3</v>
      </c>
      <c r="E26">
        <v>-4.8370849483397899E-2</v>
      </c>
      <c r="F26">
        <f t="shared" si="0"/>
        <v>-2.2928587714350843E-2</v>
      </c>
    </row>
    <row r="27" spans="1:6" x14ac:dyDescent="0.3">
      <c r="A27">
        <v>24</v>
      </c>
      <c r="B27" t="s">
        <v>22</v>
      </c>
      <c r="C27" t="s">
        <v>25</v>
      </c>
      <c r="D27">
        <v>-1.8356041424165599E-2</v>
      </c>
      <c r="E27">
        <v>-4.56787107148428E-2</v>
      </c>
      <c r="F27">
        <f t="shared" si="0"/>
        <v>-3.2017376069504201E-2</v>
      </c>
    </row>
    <row r="28" spans="1:6" x14ac:dyDescent="0.3">
      <c r="A28">
        <v>25</v>
      </c>
      <c r="B28" t="s">
        <v>22</v>
      </c>
      <c r="C28" t="s">
        <v>26</v>
      </c>
      <c r="D28">
        <v>-1.12499009996039E-2</v>
      </c>
      <c r="E28">
        <v>3.1544478177912699E-2</v>
      </c>
      <c r="F28">
        <f t="shared" si="0"/>
        <v>1.01472885891544E-2</v>
      </c>
    </row>
    <row r="29" spans="1:6" x14ac:dyDescent="0.3">
      <c r="A29">
        <v>26</v>
      </c>
      <c r="B29" t="s">
        <v>7</v>
      </c>
      <c r="C29" t="s">
        <v>27</v>
      </c>
      <c r="D29">
        <v>-2.0044208176832699E-2</v>
      </c>
      <c r="E29">
        <v>1.1483181932727699E-2</v>
      </c>
      <c r="F29">
        <f t="shared" si="0"/>
        <v>-4.2805131220524997E-3</v>
      </c>
    </row>
    <row r="30" spans="1:6" x14ac:dyDescent="0.3">
      <c r="A30">
        <v>27</v>
      </c>
      <c r="B30" t="s">
        <v>27</v>
      </c>
      <c r="C30" t="s">
        <v>23</v>
      </c>
      <c r="D30">
        <v>4.3939183756735001E-2</v>
      </c>
      <c r="E30">
        <v>0.11382026328105301</v>
      </c>
      <c r="F30">
        <f t="shared" si="0"/>
        <v>7.8879723518893996E-2</v>
      </c>
    </row>
    <row r="31" spans="1:6" x14ac:dyDescent="0.3">
      <c r="A31">
        <v>28</v>
      </c>
      <c r="B31" t="s">
        <v>27</v>
      </c>
      <c r="C31" t="s">
        <v>24</v>
      </c>
      <c r="D31">
        <v>-4.4388177552710198E-2</v>
      </c>
      <c r="E31">
        <v>-0.10958587834351299</v>
      </c>
      <c r="F31">
        <f t="shared" si="0"/>
        <v>-7.6987027948111603E-2</v>
      </c>
    </row>
    <row r="32" spans="1:6" x14ac:dyDescent="0.3">
      <c r="A32">
        <v>29</v>
      </c>
      <c r="B32" t="s">
        <v>27</v>
      </c>
      <c r="C32" t="s">
        <v>25</v>
      </c>
      <c r="D32">
        <v>5.1845967383869502E-3</v>
      </c>
      <c r="E32">
        <v>-2.4056352225408899E-2</v>
      </c>
      <c r="F32">
        <f t="shared" si="0"/>
        <v>-9.4358777435109738E-3</v>
      </c>
    </row>
    <row r="33" spans="1:6" x14ac:dyDescent="0.3">
      <c r="A33">
        <v>30</v>
      </c>
      <c r="B33" t="s">
        <v>27</v>
      </c>
      <c r="C33" t="s">
        <v>26</v>
      </c>
      <c r="D33">
        <v>1.9665774663098601E-2</v>
      </c>
      <c r="E33">
        <v>-1.7341893367573399E-2</v>
      </c>
      <c r="F33">
        <f t="shared" si="0"/>
        <v>1.1619406477626007E-3</v>
      </c>
    </row>
    <row r="34" spans="1:6" x14ac:dyDescent="0.3">
      <c r="A34">
        <v>31</v>
      </c>
      <c r="B34" t="s">
        <v>23</v>
      </c>
      <c r="C34" t="s">
        <v>28</v>
      </c>
      <c r="D34">
        <v>0.97988820755283002</v>
      </c>
      <c r="E34" s="1">
        <v>0.98452454609818396</v>
      </c>
      <c r="F34">
        <f t="shared" si="0"/>
        <v>0.98220637682550693</v>
      </c>
    </row>
    <row r="35" spans="1:6" x14ac:dyDescent="0.3">
      <c r="A35">
        <v>32</v>
      </c>
      <c r="B35" t="s">
        <v>23</v>
      </c>
      <c r="C35" t="s">
        <v>24</v>
      </c>
      <c r="D35">
        <v>-0.95886940347761396</v>
      </c>
      <c r="E35">
        <v>-0.96838640154560596</v>
      </c>
      <c r="F35">
        <f t="shared" si="0"/>
        <v>-0.9636279025116099</v>
      </c>
    </row>
    <row r="36" spans="1:6" x14ac:dyDescent="0.3">
      <c r="A36">
        <v>33</v>
      </c>
      <c r="B36" t="s">
        <v>23</v>
      </c>
      <c r="C36" t="s">
        <v>18</v>
      </c>
      <c r="D36">
        <v>-6.4605762423049606E-2</v>
      </c>
      <c r="E36">
        <v>-5.5900735602942397E-2</v>
      </c>
      <c r="F36">
        <f t="shared" si="0"/>
        <v>-6.0253249012996002E-2</v>
      </c>
    </row>
    <row r="37" spans="1:6" x14ac:dyDescent="0.3">
      <c r="A37">
        <v>34</v>
      </c>
      <c r="B37" t="s">
        <v>23</v>
      </c>
      <c r="C37" t="s">
        <v>29</v>
      </c>
      <c r="D37">
        <v>-0.12925011700046801</v>
      </c>
      <c r="E37">
        <v>-4.7101340405361597E-2</v>
      </c>
      <c r="F37">
        <f t="shared" si="0"/>
        <v>-8.8175728702914805E-2</v>
      </c>
    </row>
    <row r="38" spans="1:6" x14ac:dyDescent="0.3">
      <c r="A38">
        <v>35</v>
      </c>
      <c r="B38" t="s">
        <v>29</v>
      </c>
      <c r="C38" t="s">
        <v>21</v>
      </c>
      <c r="D38">
        <v>-8.0686402745610893E-3</v>
      </c>
      <c r="E38">
        <v>3.0170040680162699E-3</v>
      </c>
      <c r="F38">
        <f t="shared" si="0"/>
        <v>-2.5258181032724097E-3</v>
      </c>
    </row>
    <row r="39" spans="1:6" x14ac:dyDescent="0.3">
      <c r="A39">
        <v>36</v>
      </c>
      <c r="B39" t="s">
        <v>29</v>
      </c>
      <c r="C39" t="s">
        <v>30</v>
      </c>
      <c r="D39">
        <v>1.1939183756735E-2</v>
      </c>
      <c r="E39">
        <v>3.5276301105204399E-3</v>
      </c>
      <c r="F39">
        <f t="shared" si="0"/>
        <v>7.7334069336277202E-3</v>
      </c>
    </row>
    <row r="40" spans="1:6" x14ac:dyDescent="0.3">
      <c r="A40">
        <v>37</v>
      </c>
      <c r="B40" t="s">
        <v>29</v>
      </c>
      <c r="C40" t="s">
        <v>31</v>
      </c>
      <c r="D40">
        <v>-3.8131160524642098E-2</v>
      </c>
      <c r="E40">
        <v>-6.8895539582158299E-2</v>
      </c>
      <c r="F40">
        <f t="shared" si="0"/>
        <v>-5.3513350053400202E-2</v>
      </c>
    </row>
    <row r="41" spans="1:6" x14ac:dyDescent="0.3">
      <c r="A41">
        <v>38</v>
      </c>
      <c r="B41" t="s">
        <v>32</v>
      </c>
      <c r="C41" t="s">
        <v>33</v>
      </c>
      <c r="D41">
        <v>0</v>
      </c>
      <c r="E41">
        <v>0</v>
      </c>
      <c r="F41">
        <f t="shared" si="0"/>
        <v>0</v>
      </c>
    </row>
    <row r="42" spans="1:6" x14ac:dyDescent="0.3">
      <c r="A42">
        <v>39</v>
      </c>
      <c r="B42" t="s">
        <v>32</v>
      </c>
      <c r="C42" t="s">
        <v>34</v>
      </c>
      <c r="D42">
        <v>-8.0065856263424995E-2</v>
      </c>
      <c r="E42">
        <v>-6.98930795723182E-3</v>
      </c>
      <c r="F42">
        <f t="shared" si="0"/>
        <v>-4.3527582110328408E-2</v>
      </c>
    </row>
    <row r="43" spans="1:6" x14ac:dyDescent="0.3">
      <c r="A43">
        <v>40</v>
      </c>
      <c r="B43" t="s">
        <v>32</v>
      </c>
      <c r="C43" t="s">
        <v>35</v>
      </c>
      <c r="D43">
        <v>8.0065856263424995E-2</v>
      </c>
      <c r="E43">
        <v>6.98930795723182E-3</v>
      </c>
      <c r="F43">
        <f t="shared" si="0"/>
        <v>4.3527582110328408E-2</v>
      </c>
    </row>
    <row r="44" spans="1:6" x14ac:dyDescent="0.3">
      <c r="A44">
        <v>41</v>
      </c>
      <c r="B44" t="s">
        <v>34</v>
      </c>
      <c r="C44" t="s">
        <v>36</v>
      </c>
      <c r="D44">
        <v>-1.33482773931095E-2</v>
      </c>
      <c r="E44">
        <v>3.2260641042564098E-2</v>
      </c>
      <c r="F44">
        <f t="shared" si="0"/>
        <v>9.4561818247272979E-3</v>
      </c>
    </row>
    <row r="45" spans="1:6" x14ac:dyDescent="0.3">
      <c r="A45">
        <v>42</v>
      </c>
      <c r="B45" t="s">
        <v>34</v>
      </c>
      <c r="C45" t="s">
        <v>37</v>
      </c>
      <c r="D45">
        <v>-3.4002952011808002E-2</v>
      </c>
      <c r="E45">
        <v>-2.0437425749703E-2</v>
      </c>
      <c r="F45">
        <f t="shared" si="0"/>
        <v>-2.7220188880755503E-2</v>
      </c>
    </row>
    <row r="46" spans="1:6" x14ac:dyDescent="0.3">
      <c r="A46">
        <v>43</v>
      </c>
      <c r="B46" t="s">
        <v>34</v>
      </c>
      <c r="C46" t="s">
        <v>24</v>
      </c>
      <c r="D46">
        <v>4.5858999435997701E-2</v>
      </c>
      <c r="E46">
        <v>1.6646562586250298E-2</v>
      </c>
      <c r="F46">
        <f t="shared" si="0"/>
        <v>3.1252781011123998E-2</v>
      </c>
    </row>
    <row r="47" spans="1:6" x14ac:dyDescent="0.3">
      <c r="A47">
        <v>44</v>
      </c>
      <c r="B47" t="s">
        <v>35</v>
      </c>
      <c r="C47" t="s">
        <v>36</v>
      </c>
      <c r="D47">
        <v>1.0871659486637901E-2</v>
      </c>
      <c r="E47">
        <v>5.3238932955731802E-3</v>
      </c>
      <c r="F47">
        <f t="shared" si="0"/>
        <v>8.0977763911055413E-3</v>
      </c>
    </row>
    <row r="48" spans="1:6" x14ac:dyDescent="0.3">
      <c r="A48">
        <v>45</v>
      </c>
      <c r="B48" t="s">
        <v>35</v>
      </c>
      <c r="C48" t="s">
        <v>37</v>
      </c>
      <c r="D48">
        <v>-3.7724598898395599E-2</v>
      </c>
      <c r="E48">
        <v>5.3750039000156E-2</v>
      </c>
      <c r="F48">
        <f t="shared" si="0"/>
        <v>8.0127200508802003E-3</v>
      </c>
    </row>
    <row r="49" spans="1:6" x14ac:dyDescent="0.3">
      <c r="A49">
        <v>46</v>
      </c>
      <c r="B49" t="s">
        <v>35</v>
      </c>
      <c r="C49" t="s">
        <v>24</v>
      </c>
      <c r="D49">
        <v>2.97969831879327E-2</v>
      </c>
      <c r="E49">
        <v>-4.9185124740498902E-2</v>
      </c>
      <c r="F49">
        <f t="shared" si="0"/>
        <v>-9.6940707762831011E-3</v>
      </c>
    </row>
    <row r="50" spans="1:6" x14ac:dyDescent="0.3">
      <c r="A50">
        <v>47</v>
      </c>
      <c r="B50" t="s">
        <v>38</v>
      </c>
      <c r="C50" t="s">
        <v>39</v>
      </c>
      <c r="D50">
        <v>-3.5576014304057199E-2</v>
      </c>
      <c r="E50">
        <v>-6.0584594338377297E-2</v>
      </c>
      <c r="F50">
        <f t="shared" si="0"/>
        <v>-4.8080304321217252E-2</v>
      </c>
    </row>
    <row r="51" spans="1:6" x14ac:dyDescent="0.3">
      <c r="A51">
        <v>48</v>
      </c>
      <c r="B51" t="s">
        <v>38</v>
      </c>
      <c r="C51" t="s">
        <v>30</v>
      </c>
      <c r="D51">
        <v>3.7161652646610498E-2</v>
      </c>
      <c r="E51">
        <v>6.4863043452173794E-2</v>
      </c>
      <c r="F51">
        <f t="shared" si="0"/>
        <v>5.1012348049392142E-2</v>
      </c>
    </row>
    <row r="52" spans="1:6" x14ac:dyDescent="0.3">
      <c r="A52">
        <v>49</v>
      </c>
      <c r="B52" t="s">
        <v>38</v>
      </c>
      <c r="C52" t="s">
        <v>40</v>
      </c>
      <c r="D52">
        <v>-6.7571790287161097E-3</v>
      </c>
      <c r="E52">
        <v>-3.3919527678110697E-2</v>
      </c>
      <c r="F52">
        <f t="shared" si="0"/>
        <v>-2.0338353353413403E-2</v>
      </c>
    </row>
    <row r="53" spans="1:6" x14ac:dyDescent="0.3">
      <c r="A53">
        <v>50</v>
      </c>
      <c r="B53" t="s">
        <v>41</v>
      </c>
      <c r="C53" t="s">
        <v>39</v>
      </c>
      <c r="D53">
        <v>2.8405937623750401E-2</v>
      </c>
      <c r="E53">
        <v>6.8236112944451699E-2</v>
      </c>
      <c r="F53">
        <f t="shared" si="0"/>
        <v>4.8321025284101052E-2</v>
      </c>
    </row>
    <row r="54" spans="1:6" x14ac:dyDescent="0.3">
      <c r="A54">
        <v>51</v>
      </c>
      <c r="B54" t="s">
        <v>41</v>
      </c>
      <c r="C54" t="s">
        <v>30</v>
      </c>
      <c r="D54">
        <v>-8.0184320737282898E-3</v>
      </c>
      <c r="E54">
        <v>-7.2312865251460995E-2</v>
      </c>
      <c r="F54">
        <f t="shared" si="0"/>
        <v>-4.0165648662594644E-2</v>
      </c>
    </row>
    <row r="55" spans="1:6" x14ac:dyDescent="0.3">
      <c r="A55">
        <v>52</v>
      </c>
      <c r="B55" t="s">
        <v>41</v>
      </c>
      <c r="C55" t="s">
        <v>24</v>
      </c>
      <c r="D55">
        <v>-3.5012780051120199E-2</v>
      </c>
      <c r="E55">
        <v>-2.7233868935475702E-2</v>
      </c>
      <c r="F55">
        <f t="shared" si="0"/>
        <v>-3.1123324493297952E-2</v>
      </c>
    </row>
    <row r="56" spans="1:6" x14ac:dyDescent="0.3">
      <c r="A56">
        <v>53</v>
      </c>
      <c r="B56" t="s">
        <v>41</v>
      </c>
      <c r="C56" t="s">
        <v>40</v>
      </c>
      <c r="D56">
        <v>-7.5607310429241695E-2</v>
      </c>
      <c r="E56">
        <v>3.3420229680918699E-2</v>
      </c>
      <c r="F56">
        <f t="shared" si="0"/>
        <v>-2.1093540374161498E-2</v>
      </c>
    </row>
    <row r="57" spans="1:6" x14ac:dyDescent="0.3">
      <c r="A57">
        <v>54</v>
      </c>
      <c r="B57" t="s">
        <v>42</v>
      </c>
      <c r="C57" t="s">
        <v>43</v>
      </c>
      <c r="D57">
        <v>-6.0950643802575196E-4</v>
      </c>
      <c r="E57">
        <v>-7.2103008412033598E-3</v>
      </c>
      <c r="F57">
        <f t="shared" si="0"/>
        <v>-3.9099036396145559E-3</v>
      </c>
    </row>
    <row r="58" spans="1:6" x14ac:dyDescent="0.3">
      <c r="A58">
        <v>55</v>
      </c>
      <c r="B58" t="s">
        <v>42</v>
      </c>
      <c r="C58" t="s">
        <v>44</v>
      </c>
      <c r="D58">
        <v>4.0353761415045597E-2</v>
      </c>
      <c r="E58">
        <v>8.9959079836319303E-3</v>
      </c>
      <c r="F58">
        <f t="shared" si="0"/>
        <v>2.4674834699338764E-2</v>
      </c>
    </row>
    <row r="59" spans="1:6" x14ac:dyDescent="0.3">
      <c r="A59">
        <v>56</v>
      </c>
      <c r="B59" t="s">
        <v>42</v>
      </c>
      <c r="C59" t="s">
        <v>45</v>
      </c>
      <c r="D59">
        <v>-1.76070464281857E-2</v>
      </c>
      <c r="E59">
        <v>1.3882231528926099E-2</v>
      </c>
      <c r="F59">
        <f t="shared" si="0"/>
        <v>-1.8624074496298004E-3</v>
      </c>
    </row>
    <row r="60" spans="1:6" x14ac:dyDescent="0.3">
      <c r="A60">
        <v>57</v>
      </c>
      <c r="B60" t="s">
        <v>46</v>
      </c>
      <c r="C60" t="s">
        <v>47</v>
      </c>
      <c r="D60">
        <v>-5.7832551330205297E-3</v>
      </c>
      <c r="E60">
        <v>-2.7330541322165201E-2</v>
      </c>
      <c r="F60">
        <f t="shared" si="0"/>
        <v>-1.6556898227592865E-2</v>
      </c>
    </row>
    <row r="61" spans="1:6" x14ac:dyDescent="0.3">
      <c r="A61">
        <v>58</v>
      </c>
      <c r="B61" t="s">
        <v>16</v>
      </c>
      <c r="C61" t="s">
        <v>47</v>
      </c>
      <c r="D61">
        <v>-1.1880431521726E-2</v>
      </c>
      <c r="E61">
        <v>-3.5435757743030899E-2</v>
      </c>
      <c r="F61">
        <f t="shared" si="0"/>
        <v>-2.3658094632378449E-2</v>
      </c>
    </row>
    <row r="62" spans="1:6" x14ac:dyDescent="0.3">
      <c r="A62">
        <v>59</v>
      </c>
      <c r="B62" t="s">
        <v>16</v>
      </c>
      <c r="C62" t="s">
        <v>26</v>
      </c>
      <c r="D62">
        <v>-2.1529430117720402E-2</v>
      </c>
      <c r="E62">
        <v>1.0342313369253399E-2</v>
      </c>
      <c r="F62">
        <f t="shared" si="0"/>
        <v>-5.5935583742335012E-3</v>
      </c>
    </row>
    <row r="63" spans="1:6" x14ac:dyDescent="0.3">
      <c r="A63">
        <v>60</v>
      </c>
      <c r="B63" t="s">
        <v>16</v>
      </c>
      <c r="C63" t="s">
        <v>7</v>
      </c>
      <c r="D63">
        <v>4.7739262957051803E-2</v>
      </c>
      <c r="E63">
        <v>3.6113904455617803E-2</v>
      </c>
      <c r="F63">
        <f t="shared" si="0"/>
        <v>4.19265837063348E-2</v>
      </c>
    </row>
    <row r="64" spans="1:6" x14ac:dyDescent="0.3">
      <c r="A64">
        <v>61</v>
      </c>
      <c r="B64" t="s">
        <v>8</v>
      </c>
      <c r="C64" t="s">
        <v>7</v>
      </c>
      <c r="D64">
        <v>2.11851727406909E-2</v>
      </c>
      <c r="E64">
        <v>5.3687158748634903E-2</v>
      </c>
      <c r="F64">
        <f t="shared" si="0"/>
        <v>3.7436165744662901E-2</v>
      </c>
    </row>
    <row r="65" spans="1:6" x14ac:dyDescent="0.3">
      <c r="A65">
        <v>62</v>
      </c>
      <c r="B65" t="s">
        <v>8</v>
      </c>
      <c r="C65" t="s">
        <v>48</v>
      </c>
      <c r="D65">
        <v>1.1062796251185E-2</v>
      </c>
      <c r="E65">
        <v>2.85885303541214E-2</v>
      </c>
      <c r="F65">
        <f t="shared" si="0"/>
        <v>1.9825663302653201E-2</v>
      </c>
    </row>
    <row r="66" spans="1:6" x14ac:dyDescent="0.3">
      <c r="A66">
        <v>63</v>
      </c>
      <c r="B66" t="s">
        <v>8</v>
      </c>
      <c r="C66" t="s">
        <v>37</v>
      </c>
      <c r="D66">
        <v>-4.5336853347413303E-2</v>
      </c>
      <c r="E66">
        <v>-9.0501866007464002E-2</v>
      </c>
      <c r="F66">
        <f t="shared" si="0"/>
        <v>-6.7919359677438645E-2</v>
      </c>
    </row>
    <row r="67" spans="1:6" x14ac:dyDescent="0.3">
      <c r="A67">
        <v>64</v>
      </c>
      <c r="B67" t="s">
        <v>8</v>
      </c>
      <c r="C67" t="s">
        <v>26</v>
      </c>
      <c r="D67">
        <v>4.67701390805563E-2</v>
      </c>
      <c r="E67">
        <v>3.9869727478909898E-2</v>
      </c>
      <c r="F67">
        <f t="shared" si="0"/>
        <v>4.3319933279733103E-2</v>
      </c>
    </row>
    <row r="68" spans="1:6" x14ac:dyDescent="0.3">
      <c r="A68">
        <v>65</v>
      </c>
      <c r="B68" t="s">
        <v>9</v>
      </c>
      <c r="C68" t="s">
        <v>7</v>
      </c>
      <c r="D68">
        <v>-1.7384517538070101E-2</v>
      </c>
      <c r="E68">
        <v>-2.5992487969951801E-2</v>
      </c>
      <c r="F68">
        <f t="shared" ref="F68:F131" si="1">AVERAGE(D68:E68)</f>
        <v>-2.1688502754010949E-2</v>
      </c>
    </row>
    <row r="69" spans="1:6" x14ac:dyDescent="0.3">
      <c r="A69">
        <v>66</v>
      </c>
      <c r="B69" t="s">
        <v>10</v>
      </c>
      <c r="C69" t="s">
        <v>7</v>
      </c>
      <c r="D69">
        <v>1.90517562070248E-2</v>
      </c>
      <c r="E69">
        <v>-5.7110052440209703E-2</v>
      </c>
      <c r="F69">
        <f t="shared" si="1"/>
        <v>-1.9029148116592454E-2</v>
      </c>
    </row>
    <row r="70" spans="1:6" x14ac:dyDescent="0.3">
      <c r="A70">
        <v>67</v>
      </c>
      <c r="B70" t="s">
        <v>10</v>
      </c>
      <c r="C70" t="s">
        <v>37</v>
      </c>
      <c r="D70">
        <v>-4.1254245016979999E-3</v>
      </c>
      <c r="E70">
        <v>-7.1307165228660903E-3</v>
      </c>
      <c r="F70">
        <f t="shared" si="1"/>
        <v>-5.6280705122820456E-3</v>
      </c>
    </row>
    <row r="71" spans="1:6" x14ac:dyDescent="0.3">
      <c r="A71">
        <v>68</v>
      </c>
      <c r="B71" t="s">
        <v>10</v>
      </c>
      <c r="C71" t="s">
        <v>49</v>
      </c>
      <c r="D71">
        <v>-3.81690806763227E-2</v>
      </c>
      <c r="E71">
        <v>8.9602342409369595E-2</v>
      </c>
      <c r="F71">
        <f t="shared" si="1"/>
        <v>2.5716630866523447E-2</v>
      </c>
    </row>
    <row r="72" spans="1:6" x14ac:dyDescent="0.3">
      <c r="A72">
        <v>69</v>
      </c>
      <c r="B72" t="s">
        <v>50</v>
      </c>
      <c r="C72" t="s">
        <v>48</v>
      </c>
      <c r="D72">
        <v>1.9275341101364401E-2</v>
      </c>
      <c r="E72">
        <v>2.2228984915939599E-2</v>
      </c>
      <c r="F72">
        <f t="shared" si="1"/>
        <v>2.0752163008652E-2</v>
      </c>
    </row>
    <row r="73" spans="1:6" x14ac:dyDescent="0.3">
      <c r="A73">
        <v>70</v>
      </c>
      <c r="B73" t="s">
        <v>50</v>
      </c>
      <c r="C73" t="s">
        <v>24</v>
      </c>
      <c r="D73">
        <v>-1.7373669494677901E-2</v>
      </c>
      <c r="E73">
        <v>3.9408061632246499E-2</v>
      </c>
      <c r="F73">
        <f t="shared" si="1"/>
        <v>1.1017196068784299E-2</v>
      </c>
    </row>
    <row r="74" spans="1:6" x14ac:dyDescent="0.3">
      <c r="A74">
        <v>71</v>
      </c>
      <c r="B74" t="s">
        <v>50</v>
      </c>
      <c r="C74" t="s">
        <v>37</v>
      </c>
      <c r="D74">
        <v>-3.3247812991251901E-3</v>
      </c>
      <c r="E74">
        <v>-4.0580994323977201E-2</v>
      </c>
      <c r="F74">
        <f t="shared" si="1"/>
        <v>-2.1952887811551195E-2</v>
      </c>
    </row>
    <row r="75" spans="1:6" x14ac:dyDescent="0.3">
      <c r="A75">
        <v>72</v>
      </c>
      <c r="B75" t="s">
        <v>50</v>
      </c>
      <c r="C75" t="s">
        <v>26</v>
      </c>
      <c r="D75">
        <v>4.1776487105948397E-2</v>
      </c>
      <c r="E75">
        <v>-8.7066780267121002E-2</v>
      </c>
      <c r="F75">
        <f t="shared" si="1"/>
        <v>-2.2645146580586303E-2</v>
      </c>
    </row>
    <row r="76" spans="1:6" x14ac:dyDescent="0.3">
      <c r="A76">
        <v>73</v>
      </c>
      <c r="B76" t="s">
        <v>48</v>
      </c>
      <c r="C76" t="s">
        <v>37</v>
      </c>
      <c r="D76">
        <v>-3.4828747314989202E-2</v>
      </c>
      <c r="E76">
        <v>-5.5268477073908202E-2</v>
      </c>
      <c r="F76">
        <f t="shared" si="1"/>
        <v>-4.5048612194448702E-2</v>
      </c>
    </row>
    <row r="77" spans="1:6" x14ac:dyDescent="0.3">
      <c r="A77">
        <v>74</v>
      </c>
      <c r="B77" t="s">
        <v>11</v>
      </c>
      <c r="C77" t="s">
        <v>51</v>
      </c>
      <c r="D77">
        <v>4.9615590462361803E-2</v>
      </c>
      <c r="E77">
        <v>5.4812859251437002E-2</v>
      </c>
      <c r="F77">
        <f t="shared" si="1"/>
        <v>5.2214224856899402E-2</v>
      </c>
    </row>
    <row r="78" spans="1:6" x14ac:dyDescent="0.3">
      <c r="A78">
        <v>75</v>
      </c>
      <c r="B78" t="s">
        <v>18</v>
      </c>
      <c r="C78" t="s">
        <v>51</v>
      </c>
      <c r="D78">
        <v>2.1055764223056801E-3</v>
      </c>
      <c r="E78">
        <v>2.75851343405373E-2</v>
      </c>
      <c r="F78">
        <f t="shared" si="1"/>
        <v>1.4845355381421491E-2</v>
      </c>
    </row>
    <row r="79" spans="1:6" x14ac:dyDescent="0.3">
      <c r="A79">
        <v>76</v>
      </c>
      <c r="B79" t="s">
        <v>18</v>
      </c>
      <c r="C79" t="s">
        <v>11</v>
      </c>
      <c r="D79">
        <v>-2.5730406921627601E-2</v>
      </c>
      <c r="E79">
        <v>1.09777399109596E-2</v>
      </c>
      <c r="F79">
        <f t="shared" si="1"/>
        <v>-7.3763335053340009E-3</v>
      </c>
    </row>
    <row r="80" spans="1:6" x14ac:dyDescent="0.3">
      <c r="A80">
        <v>77</v>
      </c>
      <c r="B80" t="s">
        <v>18</v>
      </c>
      <c r="C80" t="s">
        <v>19</v>
      </c>
      <c r="D80">
        <v>2.6955947823791199E-2</v>
      </c>
      <c r="E80">
        <v>-1.3987543950175801E-2</v>
      </c>
      <c r="F80">
        <f t="shared" si="1"/>
        <v>6.4842019368076993E-3</v>
      </c>
    </row>
    <row r="81" spans="1:6" x14ac:dyDescent="0.3">
      <c r="A81">
        <v>78</v>
      </c>
      <c r="B81" t="s">
        <v>36</v>
      </c>
      <c r="C81" t="s">
        <v>52</v>
      </c>
      <c r="D81">
        <v>0</v>
      </c>
      <c r="E81">
        <v>0</v>
      </c>
      <c r="F81">
        <f t="shared" si="1"/>
        <v>0</v>
      </c>
    </row>
    <row r="82" spans="1:6" x14ac:dyDescent="0.3">
      <c r="A82">
        <v>79</v>
      </c>
      <c r="B82" t="s">
        <v>39</v>
      </c>
      <c r="C82" t="s">
        <v>42</v>
      </c>
      <c r="D82">
        <v>0</v>
      </c>
      <c r="E82">
        <v>0</v>
      </c>
      <c r="F82">
        <f t="shared" si="1"/>
        <v>0</v>
      </c>
    </row>
    <row r="83" spans="1:6" x14ac:dyDescent="0.3">
      <c r="A83">
        <v>80</v>
      </c>
      <c r="B83" t="s">
        <v>33</v>
      </c>
      <c r="C83" t="s">
        <v>37</v>
      </c>
      <c r="D83">
        <v>0</v>
      </c>
      <c r="E83">
        <v>0</v>
      </c>
      <c r="F83">
        <f t="shared" si="1"/>
        <v>0</v>
      </c>
    </row>
    <row r="84" spans="1:6" x14ac:dyDescent="0.3">
      <c r="A84">
        <v>81</v>
      </c>
      <c r="B84" t="s">
        <v>53</v>
      </c>
      <c r="C84" t="s">
        <v>30</v>
      </c>
      <c r="D84">
        <v>0</v>
      </c>
      <c r="E84">
        <v>0</v>
      </c>
      <c r="F84">
        <f t="shared" si="1"/>
        <v>0</v>
      </c>
    </row>
    <row r="85" spans="1:6" x14ac:dyDescent="0.3">
      <c r="A85">
        <v>82</v>
      </c>
      <c r="B85" t="s">
        <v>24</v>
      </c>
      <c r="C85" t="s">
        <v>54</v>
      </c>
      <c r="D85">
        <v>0</v>
      </c>
      <c r="E85">
        <v>0</v>
      </c>
      <c r="F85">
        <f t="shared" si="1"/>
        <v>0</v>
      </c>
    </row>
    <row r="86" spans="1:6" x14ac:dyDescent="0.3">
      <c r="A86">
        <v>83</v>
      </c>
      <c r="B86" t="s">
        <v>44</v>
      </c>
      <c r="C86" t="s">
        <v>54</v>
      </c>
      <c r="D86">
        <v>0</v>
      </c>
      <c r="E86">
        <v>0</v>
      </c>
      <c r="F86">
        <f t="shared" si="1"/>
        <v>0</v>
      </c>
    </row>
    <row r="87" spans="1:6" x14ac:dyDescent="0.3">
      <c r="A87">
        <v>84</v>
      </c>
      <c r="B87" t="s">
        <v>51</v>
      </c>
      <c r="C87" t="s">
        <v>12</v>
      </c>
      <c r="D87">
        <v>0</v>
      </c>
      <c r="E87">
        <v>0</v>
      </c>
      <c r="F87">
        <f t="shared" si="1"/>
        <v>0</v>
      </c>
    </row>
    <row r="88" spans="1:6" x14ac:dyDescent="0.3">
      <c r="A88">
        <v>85</v>
      </c>
      <c r="B88" t="s">
        <v>12</v>
      </c>
      <c r="C88" t="s">
        <v>21</v>
      </c>
      <c r="D88">
        <v>0</v>
      </c>
      <c r="E88">
        <v>0</v>
      </c>
      <c r="F88">
        <f t="shared" si="1"/>
        <v>0</v>
      </c>
    </row>
    <row r="89" spans="1:6" x14ac:dyDescent="0.3">
      <c r="A89">
        <v>86</v>
      </c>
      <c r="B89" t="s">
        <v>4</v>
      </c>
      <c r="C89" t="s">
        <v>23</v>
      </c>
      <c r="D89">
        <v>0</v>
      </c>
      <c r="E89">
        <v>0</v>
      </c>
      <c r="F89">
        <f t="shared" si="1"/>
        <v>0</v>
      </c>
    </row>
    <row r="90" spans="1:6" x14ac:dyDescent="0.3">
      <c r="A90">
        <v>87</v>
      </c>
      <c r="B90" t="s">
        <v>55</v>
      </c>
      <c r="C90" t="s">
        <v>2</v>
      </c>
      <c r="D90">
        <v>0</v>
      </c>
      <c r="E90">
        <v>0</v>
      </c>
      <c r="F90">
        <f t="shared" si="1"/>
        <v>0</v>
      </c>
    </row>
    <row r="91" spans="1:6" x14ac:dyDescent="0.3">
      <c r="A91">
        <v>88</v>
      </c>
      <c r="B91" t="s">
        <v>56</v>
      </c>
      <c r="C91" t="s">
        <v>57</v>
      </c>
      <c r="D91">
        <v>-2.8522099436175601E-2</v>
      </c>
      <c r="E91">
        <v>-7.7177460724880999E-3</v>
      </c>
      <c r="F91">
        <f t="shared" si="1"/>
        <v>-1.8119922754331851E-2</v>
      </c>
    </row>
    <row r="92" spans="1:6" x14ac:dyDescent="0.3">
      <c r="A92">
        <v>89</v>
      </c>
      <c r="B92" t="s">
        <v>56</v>
      </c>
      <c r="C92" t="s">
        <v>58</v>
      </c>
      <c r="D92">
        <v>-2.7797877585570601E-2</v>
      </c>
      <c r="E92">
        <v>2.1294325557570899E-2</v>
      </c>
      <c r="F92">
        <f t="shared" si="1"/>
        <v>-3.2517760139998513E-3</v>
      </c>
    </row>
    <row r="93" spans="1:6" x14ac:dyDescent="0.3">
      <c r="A93">
        <v>90</v>
      </c>
      <c r="B93" t="s">
        <v>56</v>
      </c>
      <c r="C93" t="s">
        <v>59</v>
      </c>
      <c r="D93">
        <v>-2.05494737121878E-2</v>
      </c>
      <c r="E93">
        <v>4.82480019959362E-3</v>
      </c>
      <c r="F93">
        <f t="shared" si="1"/>
        <v>-7.8623367562970902E-3</v>
      </c>
    </row>
    <row r="94" spans="1:6" x14ac:dyDescent="0.3">
      <c r="A94">
        <v>91</v>
      </c>
      <c r="B94" t="s">
        <v>56</v>
      </c>
      <c r="C94" t="s">
        <v>60</v>
      </c>
      <c r="D94">
        <v>2.7763867155958299E-2</v>
      </c>
      <c r="E94">
        <v>-5.5339577927497302E-2</v>
      </c>
      <c r="F94">
        <f t="shared" si="1"/>
        <v>-1.3787855385769501E-2</v>
      </c>
    </row>
    <row r="95" spans="1:6" x14ac:dyDescent="0.3">
      <c r="A95">
        <v>92</v>
      </c>
      <c r="B95" t="s">
        <v>56</v>
      </c>
      <c r="C95" t="s">
        <v>61</v>
      </c>
      <c r="D95">
        <v>-5.4935602046420999E-2</v>
      </c>
      <c r="E95">
        <v>-4.56841611674495E-2</v>
      </c>
      <c r="F95">
        <f t="shared" si="1"/>
        <v>-5.0309881606935253E-2</v>
      </c>
    </row>
    <row r="96" spans="1:6" x14ac:dyDescent="0.3">
      <c r="A96">
        <v>93</v>
      </c>
      <c r="B96" t="s">
        <v>56</v>
      </c>
      <c r="C96" t="s">
        <v>62</v>
      </c>
      <c r="D96">
        <v>-4.9770864376520799E-2</v>
      </c>
      <c r="E96">
        <v>-3.9224380716439099E-2</v>
      </c>
      <c r="F96">
        <f t="shared" si="1"/>
        <v>-4.4497622546479945E-2</v>
      </c>
    </row>
    <row r="97" spans="1:6" x14ac:dyDescent="0.3">
      <c r="A97">
        <v>94</v>
      </c>
      <c r="B97" t="s">
        <v>56</v>
      </c>
      <c r="C97" t="s">
        <v>31</v>
      </c>
      <c r="D97">
        <v>-6.1356344383779703E-2</v>
      </c>
      <c r="E97">
        <v>-7.8947216127906603E-2</v>
      </c>
      <c r="F97">
        <f t="shared" si="1"/>
        <v>-7.0151780255843149E-2</v>
      </c>
    </row>
    <row r="98" spans="1:6" x14ac:dyDescent="0.3">
      <c r="A98">
        <v>95</v>
      </c>
      <c r="B98" t="s">
        <v>56</v>
      </c>
      <c r="C98" t="s">
        <v>63</v>
      </c>
      <c r="D98">
        <v>-2.7002998859284699E-2</v>
      </c>
      <c r="E98">
        <v>3.2290465000683402E-2</v>
      </c>
      <c r="F98">
        <f t="shared" si="1"/>
        <v>2.6437330706993514E-3</v>
      </c>
    </row>
    <row r="99" spans="1:6" x14ac:dyDescent="0.3">
      <c r="A99">
        <v>96</v>
      </c>
      <c r="B99" t="s">
        <v>56</v>
      </c>
      <c r="C99" t="s">
        <v>64</v>
      </c>
      <c r="D99">
        <v>-8.1627219542701898E-2</v>
      </c>
      <c r="E99">
        <v>4.7472316211456901E-2</v>
      </c>
      <c r="F99">
        <f t="shared" si="1"/>
        <v>-1.7077451665622499E-2</v>
      </c>
    </row>
    <row r="100" spans="1:6" x14ac:dyDescent="0.3">
      <c r="A100">
        <v>97</v>
      </c>
      <c r="B100" t="s">
        <v>49</v>
      </c>
      <c r="C100" t="s">
        <v>65</v>
      </c>
      <c r="D100">
        <v>-2.0219374201138299E-2</v>
      </c>
      <c r="E100">
        <v>3.6375534851173598E-2</v>
      </c>
      <c r="F100">
        <f t="shared" si="1"/>
        <v>8.0780803250176496E-3</v>
      </c>
    </row>
    <row r="101" spans="1:6" x14ac:dyDescent="0.3">
      <c r="A101">
        <v>98</v>
      </c>
      <c r="B101" t="s">
        <v>49</v>
      </c>
      <c r="C101" t="s">
        <v>66</v>
      </c>
      <c r="D101">
        <v>2.7997751753280902E-3</v>
      </c>
      <c r="E101">
        <v>-6.2126695407679802E-2</v>
      </c>
      <c r="F101">
        <f t="shared" si="1"/>
        <v>-2.9663460116175856E-2</v>
      </c>
    </row>
    <row r="102" spans="1:6" x14ac:dyDescent="0.3">
      <c r="A102">
        <v>99</v>
      </c>
      <c r="B102" t="s">
        <v>49</v>
      </c>
      <c r="C102" t="s">
        <v>67</v>
      </c>
      <c r="D102">
        <v>3.9183629583534003E-2</v>
      </c>
      <c r="E102">
        <v>-2.1607434743680001E-2</v>
      </c>
      <c r="F102">
        <f t="shared" si="1"/>
        <v>8.7880974199270011E-3</v>
      </c>
    </row>
    <row r="103" spans="1:6" x14ac:dyDescent="0.3">
      <c r="A103">
        <v>100</v>
      </c>
      <c r="B103" t="s">
        <v>49</v>
      </c>
      <c r="C103" t="s">
        <v>68</v>
      </c>
      <c r="D103">
        <v>3.4770171111677801E-2</v>
      </c>
      <c r="E103">
        <v>7.1862431203135305E-2</v>
      </c>
      <c r="F103">
        <f t="shared" si="1"/>
        <v>5.3316301157406557E-2</v>
      </c>
    </row>
    <row r="104" spans="1:6" x14ac:dyDescent="0.3">
      <c r="A104">
        <v>101</v>
      </c>
      <c r="B104" t="s">
        <v>49</v>
      </c>
      <c r="C104" t="s">
        <v>69</v>
      </c>
      <c r="D104">
        <v>-2.8471089691435102E-2</v>
      </c>
      <c r="E104">
        <v>-2.6333238479552799E-2</v>
      </c>
      <c r="F104">
        <f t="shared" si="1"/>
        <v>-2.7402164085493952E-2</v>
      </c>
    </row>
    <row r="105" spans="1:6" x14ac:dyDescent="0.3">
      <c r="A105">
        <v>102</v>
      </c>
      <c r="B105" t="s">
        <v>37</v>
      </c>
      <c r="C105" t="s">
        <v>70</v>
      </c>
      <c r="D105">
        <v>4.3609824644759397E-2</v>
      </c>
      <c r="E105">
        <v>-6.8125828810155498E-2</v>
      </c>
      <c r="F105">
        <f t="shared" si="1"/>
        <v>-1.225800208269805E-2</v>
      </c>
    </row>
    <row r="106" spans="1:6" x14ac:dyDescent="0.3">
      <c r="A106">
        <v>103</v>
      </c>
      <c r="B106" t="s">
        <v>37</v>
      </c>
      <c r="C106" t="s">
        <v>71</v>
      </c>
      <c r="D106">
        <v>0</v>
      </c>
      <c r="E106">
        <v>0</v>
      </c>
      <c r="F106">
        <f t="shared" si="1"/>
        <v>0</v>
      </c>
    </row>
    <row r="107" spans="1:6" x14ac:dyDescent="0.3">
      <c r="A107">
        <v>104</v>
      </c>
      <c r="B107" t="s">
        <v>30</v>
      </c>
      <c r="C107" t="s">
        <v>59</v>
      </c>
      <c r="D107">
        <v>-2.3128141465982001E-2</v>
      </c>
      <c r="E107">
        <v>3.13026375373123E-2</v>
      </c>
      <c r="F107">
        <f t="shared" si="1"/>
        <v>4.0872480356651496E-3</v>
      </c>
    </row>
    <row r="108" spans="1:6" x14ac:dyDescent="0.3">
      <c r="A108">
        <v>105</v>
      </c>
      <c r="B108" t="s">
        <v>30</v>
      </c>
      <c r="C108" t="s">
        <v>64</v>
      </c>
      <c r="D108">
        <v>0</v>
      </c>
      <c r="E108">
        <v>0</v>
      </c>
      <c r="F108">
        <f t="shared" si="1"/>
        <v>0</v>
      </c>
    </row>
    <row r="109" spans="1:6" x14ac:dyDescent="0.3">
      <c r="A109">
        <v>106</v>
      </c>
      <c r="B109" t="s">
        <v>72</v>
      </c>
      <c r="C109" t="s">
        <v>65</v>
      </c>
      <c r="D109">
        <v>-5.3129823888887102E-2</v>
      </c>
      <c r="E109">
        <v>-6.2047854895493401E-2</v>
      </c>
      <c r="F109">
        <f t="shared" si="1"/>
        <v>-5.7588839392190255E-2</v>
      </c>
    </row>
    <row r="110" spans="1:6" x14ac:dyDescent="0.3">
      <c r="A110">
        <v>107</v>
      </c>
      <c r="B110" t="s">
        <v>72</v>
      </c>
      <c r="C110" t="s">
        <v>66</v>
      </c>
      <c r="D110">
        <v>-3.90249114993153E-2</v>
      </c>
      <c r="E110">
        <v>-4.8299570547444097E-2</v>
      </c>
      <c r="F110">
        <f t="shared" si="1"/>
        <v>-4.3662241023379698E-2</v>
      </c>
    </row>
    <row r="111" spans="1:6" x14ac:dyDescent="0.3">
      <c r="A111">
        <v>108</v>
      </c>
      <c r="B111" t="s">
        <v>72</v>
      </c>
      <c r="C111" t="s">
        <v>67</v>
      </c>
      <c r="D111">
        <v>3.1917422062929801E-2</v>
      </c>
      <c r="E111">
        <v>-1.6940759758162699E-2</v>
      </c>
      <c r="F111">
        <f t="shared" si="1"/>
        <v>7.4883311523835511E-3</v>
      </c>
    </row>
    <row r="112" spans="1:6" x14ac:dyDescent="0.3">
      <c r="A112">
        <v>109</v>
      </c>
      <c r="B112" t="s">
        <v>72</v>
      </c>
      <c r="C112" t="s">
        <v>68</v>
      </c>
      <c r="D112">
        <v>7.9085863620686498E-3</v>
      </c>
      <c r="E112">
        <v>8.2135212237215097E-3</v>
      </c>
      <c r="F112">
        <f t="shared" si="1"/>
        <v>8.0610537928950798E-3</v>
      </c>
    </row>
    <row r="113" spans="1:6" x14ac:dyDescent="0.3">
      <c r="A113">
        <v>110</v>
      </c>
      <c r="B113" t="s">
        <v>72</v>
      </c>
      <c r="C113" t="s">
        <v>69</v>
      </c>
      <c r="D113">
        <v>2.8506585961129999E-2</v>
      </c>
      <c r="E113">
        <v>-3.0964326088796901E-2</v>
      </c>
      <c r="F113">
        <f t="shared" si="1"/>
        <v>-1.2288700638334506E-3</v>
      </c>
    </row>
    <row r="114" spans="1:6" x14ac:dyDescent="0.3">
      <c r="A114">
        <v>111</v>
      </c>
      <c r="B114" t="s">
        <v>21</v>
      </c>
      <c r="C114" t="s">
        <v>53</v>
      </c>
      <c r="D114">
        <v>0</v>
      </c>
      <c r="E114">
        <v>0</v>
      </c>
      <c r="F114">
        <f t="shared" si="1"/>
        <v>0</v>
      </c>
    </row>
    <row r="115" spans="1:6" x14ac:dyDescent="0.3">
      <c r="A115">
        <v>112</v>
      </c>
      <c r="B115" t="s">
        <v>21</v>
      </c>
      <c r="C115" t="s">
        <v>38</v>
      </c>
      <c r="D115">
        <v>-6.1060852243408903E-2</v>
      </c>
      <c r="E115">
        <v>4.1724070896283501E-2</v>
      </c>
      <c r="F115">
        <f t="shared" si="1"/>
        <v>-9.6683906735627011E-3</v>
      </c>
    </row>
    <row r="116" spans="1:6" x14ac:dyDescent="0.3">
      <c r="A116">
        <v>113</v>
      </c>
      <c r="B116" t="s">
        <v>21</v>
      </c>
      <c r="C116" t="s">
        <v>41</v>
      </c>
      <c r="D116">
        <v>6.1060852243408903E-2</v>
      </c>
      <c r="E116">
        <v>-4.1724070896283501E-2</v>
      </c>
      <c r="F116">
        <f t="shared" si="1"/>
        <v>9.6683906735627011E-3</v>
      </c>
    </row>
    <row r="117" spans="1:6" x14ac:dyDescent="0.3">
      <c r="A117">
        <v>114</v>
      </c>
      <c r="B117" t="s">
        <v>17</v>
      </c>
      <c r="C117" t="s">
        <v>47</v>
      </c>
      <c r="D117">
        <v>-9.6804867219468793E-3</v>
      </c>
      <c r="E117">
        <v>2.7130380521521998E-2</v>
      </c>
      <c r="F117">
        <f t="shared" si="1"/>
        <v>8.7249468997875595E-3</v>
      </c>
    </row>
    <row r="118" spans="1:6" x14ac:dyDescent="0.3">
      <c r="A118">
        <v>115</v>
      </c>
      <c r="B118" t="s">
        <v>17</v>
      </c>
      <c r="C118" t="s">
        <v>26</v>
      </c>
      <c r="D118">
        <v>-5.7733670934683699E-3</v>
      </c>
      <c r="E118">
        <v>-6.6085032340129302E-2</v>
      </c>
      <c r="F118">
        <f t="shared" si="1"/>
        <v>-3.5929199716798838E-2</v>
      </c>
    </row>
    <row r="119" spans="1:6" x14ac:dyDescent="0.3">
      <c r="A119">
        <v>116</v>
      </c>
      <c r="B119" t="s">
        <v>17</v>
      </c>
      <c r="C119" t="s">
        <v>7</v>
      </c>
      <c r="D119">
        <v>1.88115632462529E-2</v>
      </c>
      <c r="E119">
        <v>3.0031032124128498E-2</v>
      </c>
      <c r="F119">
        <f t="shared" si="1"/>
        <v>2.4421297685190697E-2</v>
      </c>
    </row>
    <row r="120" spans="1:6" x14ac:dyDescent="0.3">
      <c r="A120">
        <v>117</v>
      </c>
      <c r="B120" t="s">
        <v>73</v>
      </c>
      <c r="C120" t="s">
        <v>62</v>
      </c>
      <c r="D120">
        <v>4.27493549974199E-2</v>
      </c>
      <c r="E120">
        <v>8.9171204684818706E-2</v>
      </c>
      <c r="F120">
        <f t="shared" si="1"/>
        <v>6.5960279841119296E-2</v>
      </c>
    </row>
    <row r="121" spans="1:6" x14ac:dyDescent="0.3">
      <c r="A121">
        <v>118</v>
      </c>
      <c r="B121" t="s">
        <v>73</v>
      </c>
      <c r="C121" t="s">
        <v>31</v>
      </c>
      <c r="D121">
        <v>-4.27493549974199E-2</v>
      </c>
      <c r="E121">
        <v>-8.9171204684818706E-2</v>
      </c>
      <c r="F121">
        <f t="shared" si="1"/>
        <v>-6.5960279841119296E-2</v>
      </c>
    </row>
    <row r="122" spans="1:6" x14ac:dyDescent="0.3">
      <c r="A122">
        <v>119</v>
      </c>
      <c r="B122" t="s">
        <v>52</v>
      </c>
      <c r="C122" t="s">
        <v>25</v>
      </c>
      <c r="D122">
        <v>-4.31956607826431E-2</v>
      </c>
      <c r="E122">
        <v>1.9969999879999498E-3</v>
      </c>
      <c r="F122">
        <f t="shared" si="1"/>
        <v>-2.0599330397321574E-2</v>
      </c>
    </row>
    <row r="123" spans="1:6" x14ac:dyDescent="0.3">
      <c r="A123">
        <v>120</v>
      </c>
      <c r="B123" t="s">
        <v>52</v>
      </c>
      <c r="C123" t="s">
        <v>24</v>
      </c>
      <c r="D123">
        <v>4.5378709514838002E-2</v>
      </c>
      <c r="E123">
        <v>2.77844311377245E-3</v>
      </c>
      <c r="F123">
        <f t="shared" si="1"/>
        <v>2.4078576314305225E-2</v>
      </c>
    </row>
    <row r="124" spans="1:6" x14ac:dyDescent="0.3">
      <c r="A124">
        <v>121</v>
      </c>
      <c r="B124" t="s">
        <v>52</v>
      </c>
      <c r="C124" t="s">
        <v>54</v>
      </c>
      <c r="D124">
        <v>-1.1924687698750699E-2</v>
      </c>
      <c r="E124">
        <v>-3.1324829299317097E-2</v>
      </c>
      <c r="F124">
        <f t="shared" si="1"/>
        <v>-2.1624758499033898E-2</v>
      </c>
    </row>
    <row r="125" spans="1:6" x14ac:dyDescent="0.3">
      <c r="A125">
        <v>122</v>
      </c>
      <c r="B125" t="s">
        <v>20</v>
      </c>
      <c r="C125" t="s">
        <v>40</v>
      </c>
      <c r="D125">
        <v>-7.7891831567326195E-2</v>
      </c>
      <c r="E125">
        <v>-2.9498805995223899E-2</v>
      </c>
      <c r="F125">
        <f t="shared" si="1"/>
        <v>-5.369531878127505E-2</v>
      </c>
    </row>
    <row r="126" spans="1:6" x14ac:dyDescent="0.3">
      <c r="A126">
        <v>123</v>
      </c>
      <c r="B126" t="s">
        <v>2</v>
      </c>
      <c r="C126" t="s">
        <v>5</v>
      </c>
      <c r="D126">
        <v>7.8748346993387897E-2</v>
      </c>
      <c r="E126">
        <v>6.5625766503065994E-2</v>
      </c>
      <c r="F126">
        <f t="shared" si="1"/>
        <v>7.2187056748226952E-2</v>
      </c>
    </row>
    <row r="127" spans="1:6" x14ac:dyDescent="0.3">
      <c r="A127">
        <v>124</v>
      </c>
      <c r="B127" t="s">
        <v>3</v>
      </c>
      <c r="C127" t="s">
        <v>6</v>
      </c>
      <c r="D127">
        <v>-0.14404473617894401</v>
      </c>
      <c r="E127">
        <v>-0.142478201912807</v>
      </c>
      <c r="F127">
        <f t="shared" si="1"/>
        <v>-0.1432614690458755</v>
      </c>
    </row>
    <row r="128" spans="1:6" x14ac:dyDescent="0.3">
      <c r="A128">
        <v>125</v>
      </c>
      <c r="B128" t="s">
        <v>5</v>
      </c>
      <c r="C128" t="s">
        <v>13</v>
      </c>
      <c r="D128">
        <v>-0.103737918951675</v>
      </c>
      <c r="E128">
        <v>-9.1667118668474601E-2</v>
      </c>
      <c r="F128">
        <f t="shared" si="1"/>
        <v>-9.7702518810074801E-2</v>
      </c>
    </row>
    <row r="129" spans="1:6" x14ac:dyDescent="0.3">
      <c r="A129">
        <v>126</v>
      </c>
      <c r="B129" t="s">
        <v>14</v>
      </c>
      <c r="C129" t="s">
        <v>50</v>
      </c>
      <c r="D129">
        <v>-3.04749378997516E-2</v>
      </c>
      <c r="E129">
        <v>6.9627734510937997E-2</v>
      </c>
      <c r="F129">
        <f t="shared" si="1"/>
        <v>1.9576398305593198E-2</v>
      </c>
    </row>
    <row r="130" spans="1:6" x14ac:dyDescent="0.3">
      <c r="A130">
        <v>127</v>
      </c>
      <c r="B130" t="s">
        <v>7</v>
      </c>
      <c r="C130" t="s">
        <v>50</v>
      </c>
      <c r="D130">
        <v>2.0044208176832699E-2</v>
      </c>
      <c r="E130">
        <v>-1.1483181932727699E-2</v>
      </c>
      <c r="F130">
        <f t="shared" si="1"/>
        <v>4.2805131220524997E-3</v>
      </c>
    </row>
    <row r="131" spans="1:6" x14ac:dyDescent="0.3">
      <c r="A131">
        <v>128</v>
      </c>
      <c r="B131" t="s">
        <v>46</v>
      </c>
      <c r="C131" t="s">
        <v>26</v>
      </c>
      <c r="D131">
        <v>5.7832551330205297E-3</v>
      </c>
      <c r="E131">
        <v>2.7330541322165201E-2</v>
      </c>
      <c r="F131">
        <f t="shared" si="1"/>
        <v>1.6556898227592865E-2</v>
      </c>
    </row>
    <row r="132" spans="1:6" x14ac:dyDescent="0.3">
      <c r="A132">
        <v>129</v>
      </c>
      <c r="B132" t="s">
        <v>9</v>
      </c>
      <c r="C132" t="s">
        <v>74</v>
      </c>
      <c r="D132">
        <v>1.7384517538070101E-2</v>
      </c>
      <c r="E132">
        <v>2.5992487969951801E-2</v>
      </c>
      <c r="F132">
        <f t="shared" ref="F132:F135" si="2">AVERAGE(D132:E132)</f>
        <v>2.1688502754010949E-2</v>
      </c>
    </row>
    <row r="133" spans="1:6" x14ac:dyDescent="0.3">
      <c r="A133">
        <v>130</v>
      </c>
      <c r="B133" t="s">
        <v>48</v>
      </c>
      <c r="C133" t="s">
        <v>32</v>
      </c>
      <c r="D133">
        <v>3.4828747314989202E-2</v>
      </c>
      <c r="E133">
        <v>5.5268477073908202E-2</v>
      </c>
      <c r="F133">
        <f t="shared" si="2"/>
        <v>4.5048612194448702E-2</v>
      </c>
    </row>
    <row r="134" spans="1:6" x14ac:dyDescent="0.3">
      <c r="A134">
        <v>131</v>
      </c>
      <c r="B134" t="s">
        <v>11</v>
      </c>
      <c r="C134" t="s">
        <v>56</v>
      </c>
      <c r="D134">
        <v>-4.9615590462361803E-2</v>
      </c>
      <c r="E134">
        <v>-5.4812859251437002E-2</v>
      </c>
      <c r="F134">
        <f t="shared" si="2"/>
        <v>-5.2214224856899402E-2</v>
      </c>
    </row>
    <row r="135" spans="1:6" x14ac:dyDescent="0.3">
      <c r="A135">
        <v>132</v>
      </c>
      <c r="B135" t="s">
        <v>19</v>
      </c>
      <c r="C135" t="s">
        <v>7</v>
      </c>
      <c r="D135">
        <v>1.6381601526406098E-2</v>
      </c>
      <c r="E135">
        <v>-2.91781647126588E-2</v>
      </c>
      <c r="F135">
        <f t="shared" si="2"/>
        <v>-6.3982815931263506E-3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912B-421C-43EF-8D53-9EA0B0D07C88}">
  <dimension ref="A1:R60"/>
  <sheetViews>
    <sheetView workbookViewId="0">
      <selection activeCell="K53" sqref="K53:M53"/>
    </sheetView>
  </sheetViews>
  <sheetFormatPr defaultRowHeight="14.4" x14ac:dyDescent="0.3"/>
  <cols>
    <col min="1" max="1" width="11" bestFit="1" customWidth="1"/>
    <col min="2" max="3" width="11" customWidth="1"/>
    <col min="4" max="5" width="14.77734375" bestFit="1" customWidth="1"/>
    <col min="6" max="6" width="12" bestFit="1" customWidth="1"/>
    <col min="11" max="11" width="8.88671875" customWidth="1"/>
  </cols>
  <sheetData>
    <row r="1" spans="1:18" x14ac:dyDescent="0.3">
      <c r="A1" s="9" t="s">
        <v>108</v>
      </c>
      <c r="B1" s="9"/>
      <c r="C1" s="9"/>
      <c r="D1" s="9"/>
      <c r="E1" s="9"/>
      <c r="F1" s="9"/>
    </row>
    <row r="2" spans="1:18" s="7" customFormat="1" ht="43.2" x14ac:dyDescent="0.3">
      <c r="A2" s="7" t="s">
        <v>75</v>
      </c>
      <c r="B2" s="7" t="s">
        <v>106</v>
      </c>
      <c r="C2" s="7" t="s">
        <v>107</v>
      </c>
      <c r="D2" s="7" t="s">
        <v>104</v>
      </c>
      <c r="E2" s="7" t="s">
        <v>105</v>
      </c>
      <c r="F2" s="7" t="s">
        <v>85</v>
      </c>
    </row>
    <row r="3" spans="1:18" x14ac:dyDescent="0.3">
      <c r="A3" t="s">
        <v>76</v>
      </c>
      <c r="B3" s="1">
        <v>57044.060208684903</v>
      </c>
      <c r="C3" s="1">
        <v>60502.092388983197</v>
      </c>
      <c r="D3" s="3">
        <f>(B3-MIN(B$3:B$11))/(MAX(B$3:B$11)-MIN(B$3:B$11))</f>
        <v>1</v>
      </c>
      <c r="E3" s="3">
        <f>(C3-MIN(C$3:C$11))/(MAX(C$3:C$11)-MIN(C$3:C$11))</f>
        <v>1</v>
      </c>
      <c r="F3" s="3">
        <f>AVERAGE(D3:E3)</f>
        <v>1</v>
      </c>
      <c r="H3" s="8" t="s">
        <v>88</v>
      </c>
      <c r="I3" t="s">
        <v>94</v>
      </c>
      <c r="K3" s="2" t="s">
        <v>99</v>
      </c>
      <c r="L3" s="2"/>
      <c r="M3" s="2"/>
    </row>
    <row r="4" spans="1:18" x14ac:dyDescent="0.3">
      <c r="A4" t="s">
        <v>77</v>
      </c>
      <c r="B4" s="1">
        <v>51339.654187816399</v>
      </c>
      <c r="C4" s="1">
        <v>54451.883150084897</v>
      </c>
      <c r="D4" s="3">
        <f t="shared" ref="D4:E11" si="0">(B4-MIN(B$3:B$11))/(MAX(B$3:B$11)-MIN(B$3:B$11))</f>
        <v>0.42287332801833738</v>
      </c>
      <c r="E4" s="3">
        <f t="shared" si="0"/>
        <v>0.36695039176245137</v>
      </c>
      <c r="F4" s="3">
        <f t="shared" ref="F4:F11" si="1">AVERAGE(D4:E4)</f>
        <v>0.39491185989039435</v>
      </c>
      <c r="H4" s="4">
        <f>AVERAGE(D3:E11)</f>
        <v>0.73501668817877985</v>
      </c>
      <c r="I4">
        <f>H10/H12</f>
        <v>939.57430974283227</v>
      </c>
      <c r="K4" s="4" t="s">
        <v>93</v>
      </c>
      <c r="L4" t="s">
        <v>97</v>
      </c>
      <c r="M4" t="s">
        <v>98</v>
      </c>
    </row>
    <row r="5" spans="1:18" x14ac:dyDescent="0.3">
      <c r="A5" t="s">
        <v>78</v>
      </c>
      <c r="B5" s="1">
        <v>54514.356379970799</v>
      </c>
      <c r="C5" s="1">
        <v>57881.689463272603</v>
      </c>
      <c r="D5" s="3">
        <f t="shared" si="0"/>
        <v>0.74406457983108998</v>
      </c>
      <c r="E5" s="3">
        <f t="shared" si="0"/>
        <v>0.72582021876524694</v>
      </c>
      <c r="F5" s="3">
        <f t="shared" si="1"/>
        <v>0.73494239929816851</v>
      </c>
      <c r="H5" s="4" t="s">
        <v>89</v>
      </c>
      <c r="I5" t="s">
        <v>100</v>
      </c>
      <c r="K5" s="3">
        <f>(H10-H12)/(H10+H12)</f>
        <v>0.99787363956331454</v>
      </c>
      <c r="L5" s="3">
        <f>(I4/I8 - 1) / (I4/I8 + 1)</f>
        <v>0.99060757554961021</v>
      </c>
      <c r="M5" s="3">
        <f>(I4/I10 - 1) / (I4/I10 + 1)</f>
        <v>0.99951996663963494</v>
      </c>
    </row>
    <row r="6" spans="1:18" x14ac:dyDescent="0.3">
      <c r="A6" t="s">
        <v>79</v>
      </c>
      <c r="B6" s="1">
        <v>55724.767125952902</v>
      </c>
      <c r="C6" s="1">
        <v>59052.079061058103</v>
      </c>
      <c r="D6" s="3">
        <f>(B6-MIN(B$3:B$11))/(MAX(B$3:B$11)-MIN(B$3:B$11))</f>
        <v>0.86652436319923387</v>
      </c>
      <c r="E6" s="3">
        <f t="shared" si="0"/>
        <v>0.84828121922121258</v>
      </c>
      <c r="F6" s="3">
        <f t="shared" si="1"/>
        <v>0.85740279121022323</v>
      </c>
      <c r="H6" s="4" cm="1">
        <f t="array" ref="H6">2*SUMPRODUCT((F3:F11-$H$4)^2)</f>
        <v>1.8246385106506533</v>
      </c>
      <c r="I6">
        <f>COUNTA(A3:A11)-1</f>
        <v>8</v>
      </c>
    </row>
    <row r="7" spans="1:18" x14ac:dyDescent="0.3">
      <c r="A7" t="s">
        <v>80</v>
      </c>
      <c r="B7" s="1">
        <v>47159.911203265598</v>
      </c>
      <c r="C7" s="1">
        <v>50944.8489120581</v>
      </c>
      <c r="D7" s="3">
        <f t="shared" si="0"/>
        <v>0</v>
      </c>
      <c r="E7" s="3">
        <f t="shared" si="0"/>
        <v>0</v>
      </c>
      <c r="F7" s="3">
        <f t="shared" si="1"/>
        <v>0</v>
      </c>
      <c r="H7" s="4" t="s">
        <v>90</v>
      </c>
      <c r="I7" t="s">
        <v>95</v>
      </c>
    </row>
    <row r="8" spans="1:18" x14ac:dyDescent="0.3">
      <c r="A8" t="s">
        <v>81</v>
      </c>
      <c r="B8" s="1">
        <v>56792.395415892199</v>
      </c>
      <c r="C8" s="1">
        <v>60226.8718543953</v>
      </c>
      <c r="D8" s="3">
        <f t="shared" si="0"/>
        <v>0.97453854725837086</v>
      </c>
      <c r="E8" s="3">
        <f t="shared" si="0"/>
        <v>0.9712029378290522</v>
      </c>
      <c r="F8" s="3">
        <f t="shared" si="1"/>
        <v>0.97287074254371153</v>
      </c>
      <c r="H8" s="4" cm="1">
        <f t="array" ref="H8">SUMPRODUCT((D3:D11-E3:E11)^2)</f>
        <v>4.3694645611241281E-3</v>
      </c>
      <c r="I8">
        <f>_xlfn.F.INV.RT(0.025,I6,I6)</f>
        <v>4.4332598891823745</v>
      </c>
    </row>
    <row r="9" spans="1:18" x14ac:dyDescent="0.3">
      <c r="A9" t="s">
        <v>82</v>
      </c>
      <c r="B9" s="1">
        <v>56800.102482141097</v>
      </c>
      <c r="C9" s="1">
        <v>60234.382648685598</v>
      </c>
      <c r="D9" s="3">
        <f t="shared" si="0"/>
        <v>0.97531828724859893</v>
      </c>
      <c r="E9" s="3">
        <f>(C9-MIN(C$3:C$11))/(MAX(C$3:C$11)-MIN(C$3:C$11))</f>
        <v>0.97198881236582968</v>
      </c>
      <c r="F9" s="3">
        <f t="shared" si="1"/>
        <v>0.9736535498072143</v>
      </c>
      <c r="H9" s="4" t="s">
        <v>92</v>
      </c>
      <c r="I9" t="s">
        <v>96</v>
      </c>
    </row>
    <row r="10" spans="1:18" x14ac:dyDescent="0.3">
      <c r="A10" t="s">
        <v>83</v>
      </c>
      <c r="B10" s="1">
        <v>56803.611380385599</v>
      </c>
      <c r="C10" s="1">
        <v>60230.590485861801</v>
      </c>
      <c r="D10" s="3">
        <f t="shared" si="0"/>
        <v>0.97567328981306634</v>
      </c>
      <c r="E10" s="3">
        <f t="shared" si="0"/>
        <v>0.97159202820594581</v>
      </c>
      <c r="F10" s="3">
        <f t="shared" si="1"/>
        <v>0.97363265900950613</v>
      </c>
      <c r="H10" s="4">
        <f>H6/(COUNTA(A3:A11)-1)</f>
        <v>0.22807981383133166</v>
      </c>
      <c r="I10">
        <f>_xlfn.F.INV(0.025,I6,I6)</f>
        <v>0.22556764660698242</v>
      </c>
    </row>
    <row r="11" spans="1:18" x14ac:dyDescent="0.3">
      <c r="A11" t="s">
        <v>84</v>
      </c>
      <c r="B11" s="1">
        <v>54269.864044312402</v>
      </c>
      <c r="C11" s="1">
        <v>57598.0628317347</v>
      </c>
      <c r="D11" s="3">
        <f t="shared" si="0"/>
        <v>0.71932877955892227</v>
      </c>
      <c r="E11" s="3">
        <f t="shared" si="0"/>
        <v>0.69614360414067566</v>
      </c>
      <c r="F11" s="3">
        <f t="shared" si="1"/>
        <v>0.70773619184979897</v>
      </c>
      <c r="H11" s="4" t="s">
        <v>91</v>
      </c>
    </row>
    <row r="12" spans="1:18" x14ac:dyDescent="0.3">
      <c r="H12" s="4">
        <f>H8/(2*(COUNTA(A3:A11)))</f>
        <v>2.4274803117356266E-4</v>
      </c>
    </row>
    <row r="13" spans="1:18" x14ac:dyDescent="0.3">
      <c r="A13" s="9" t="s">
        <v>108</v>
      </c>
      <c r="B13" s="9"/>
      <c r="C13" s="9"/>
      <c r="D13" s="9"/>
      <c r="E13" s="9"/>
      <c r="F13" s="9"/>
    </row>
    <row r="14" spans="1:18" ht="43.2" x14ac:dyDescent="0.3">
      <c r="A14" s="7" t="s">
        <v>75</v>
      </c>
      <c r="B14" s="7" t="s">
        <v>109</v>
      </c>
      <c r="C14" s="7" t="s">
        <v>110</v>
      </c>
      <c r="D14" s="7" t="s">
        <v>111</v>
      </c>
      <c r="E14" s="7" t="s">
        <v>112</v>
      </c>
      <c r="F14" s="7" t="s">
        <v>85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3">
      <c r="A15" t="s">
        <v>76</v>
      </c>
      <c r="B15" s="1">
        <v>0.77800000000000002</v>
      </c>
      <c r="C15" s="1">
        <v>0.82</v>
      </c>
      <c r="D15" s="3">
        <f>(B15-MIN(B$15:B$23))/(MAX(B$15:B$23)-MIN(B$15:B$23))</f>
        <v>1</v>
      </c>
      <c r="E15" s="3">
        <f>(C15-MIN(C$15:C$23))/(MAX(C$15:C$23)-MIN(C$15:C$23))</f>
        <v>1</v>
      </c>
      <c r="F15" s="3">
        <f>AVERAGE(D15:E15)</f>
        <v>1</v>
      </c>
      <c r="H15" s="8" t="s">
        <v>88</v>
      </c>
      <c r="I15" t="s">
        <v>94</v>
      </c>
      <c r="K15" s="2" t="s">
        <v>99</v>
      </c>
      <c r="L15" s="2"/>
      <c r="M15" s="2"/>
    </row>
    <row r="16" spans="1:18" x14ac:dyDescent="0.3">
      <c r="A16" t="s">
        <v>77</v>
      </c>
      <c r="B16" s="1">
        <v>0.69799999999999995</v>
      </c>
      <c r="C16" s="1">
        <v>0.74199999999999999</v>
      </c>
      <c r="D16" s="3">
        <f t="shared" ref="D16:E23" si="2">(B16-MIN(B$15:B$23))/(MAX(B$15:B$23)-MIN(B$15:B$23))</f>
        <v>0.48717948717948684</v>
      </c>
      <c r="E16" s="3">
        <f t="shared" si="2"/>
        <v>0.54117647058823537</v>
      </c>
      <c r="F16" s="3">
        <f t="shared" ref="F16:F23" si="3">AVERAGE(D16:E16)</f>
        <v>0.51417797888386108</v>
      </c>
      <c r="H16" s="4">
        <f>AVERAGE(D15:E23)</f>
        <v>0.77421652421652432</v>
      </c>
      <c r="I16">
        <f>H22/H24</f>
        <v>1161.5478854684368</v>
      </c>
      <c r="K16" s="4" t="s">
        <v>93</v>
      </c>
      <c r="L16" t="s">
        <v>97</v>
      </c>
      <c r="M16" t="s">
        <v>98</v>
      </c>
    </row>
    <row r="17" spans="1:18" x14ac:dyDescent="0.3">
      <c r="A17" t="s">
        <v>78</v>
      </c>
      <c r="B17" s="1">
        <v>0.75</v>
      </c>
      <c r="C17" s="1">
        <v>0.79</v>
      </c>
      <c r="D17" s="3">
        <f t="shared" si="2"/>
        <v>0.82051282051282037</v>
      </c>
      <c r="E17" s="3">
        <f t="shared" si="2"/>
        <v>0.82352941176470629</v>
      </c>
      <c r="F17" s="3">
        <f t="shared" si="3"/>
        <v>0.82202111613876339</v>
      </c>
      <c r="H17" s="4" t="s">
        <v>89</v>
      </c>
      <c r="I17" t="s">
        <v>100</v>
      </c>
      <c r="K17" s="3">
        <f>(H22-H24)/(H22+H24)</f>
        <v>0.99827964075716824</v>
      </c>
      <c r="L17" s="3">
        <f>(I16/I20 - 1) / (I16/I20 + 1)</f>
        <v>0.99239565767108073</v>
      </c>
      <c r="M17" s="3">
        <f>(I16/I22 - 1) / (I16/I22 + 1)</f>
        <v>0.99961168393717004</v>
      </c>
    </row>
    <row r="18" spans="1:18" x14ac:dyDescent="0.3">
      <c r="A18" t="s">
        <v>79</v>
      </c>
      <c r="B18" s="1">
        <v>0.76</v>
      </c>
      <c r="C18" s="1">
        <v>0.79800000000000004</v>
      </c>
      <c r="D18" s="3">
        <f t="shared" si="2"/>
        <v>0.88461538461538458</v>
      </c>
      <c r="E18" s="3">
        <f t="shared" si="2"/>
        <v>0.87058823529411811</v>
      </c>
      <c r="F18" s="3">
        <f t="shared" si="3"/>
        <v>0.87760180995475134</v>
      </c>
      <c r="H18" s="4" cm="1">
        <f t="array" ref="H18">2*SUMPRODUCT((F15:F23-$H$4)^2)</f>
        <v>1.7461324167138905</v>
      </c>
      <c r="I18">
        <f>COUNTA(A15:A23)-1</f>
        <v>8</v>
      </c>
    </row>
    <row r="19" spans="1:18" x14ac:dyDescent="0.3">
      <c r="A19" t="s">
        <v>80</v>
      </c>
      <c r="B19" s="1">
        <v>0.622</v>
      </c>
      <c r="C19" s="1">
        <v>0.65</v>
      </c>
      <c r="D19" s="3">
        <f t="shared" si="2"/>
        <v>0</v>
      </c>
      <c r="E19" s="3">
        <f t="shared" si="2"/>
        <v>0</v>
      </c>
      <c r="F19" s="3">
        <f t="shared" si="3"/>
        <v>0</v>
      </c>
      <c r="H19" s="4" t="s">
        <v>90</v>
      </c>
      <c r="I19" t="s">
        <v>95</v>
      </c>
    </row>
    <row r="20" spans="1:18" x14ac:dyDescent="0.3">
      <c r="A20" t="s">
        <v>81</v>
      </c>
      <c r="B20" s="1">
        <v>0.77600000000000002</v>
      </c>
      <c r="C20" s="1">
        <v>0.81799999999999995</v>
      </c>
      <c r="D20" s="3">
        <f t="shared" si="2"/>
        <v>0.98717948717948723</v>
      </c>
      <c r="E20" s="3">
        <f t="shared" si="2"/>
        <v>0.98823529411764699</v>
      </c>
      <c r="F20" s="3">
        <f t="shared" si="3"/>
        <v>0.98770739064856716</v>
      </c>
      <c r="H20" s="4" cm="1">
        <f t="array" ref="H20">SUMPRODUCT((D15:D23-E15:E23)^2)</f>
        <v>3.3823813781227122E-3</v>
      </c>
      <c r="I20">
        <f>_xlfn.F.INV.RT(0.025,I18,I18)</f>
        <v>4.4332598891823745</v>
      </c>
    </row>
    <row r="21" spans="1:18" x14ac:dyDescent="0.3">
      <c r="A21" t="s">
        <v>82</v>
      </c>
      <c r="B21" s="1">
        <v>0.77400000000000002</v>
      </c>
      <c r="C21" s="1">
        <v>0.81599999999999995</v>
      </c>
      <c r="D21" s="3">
        <f t="shared" si="2"/>
        <v>0.97435897435897434</v>
      </c>
      <c r="E21" s="3">
        <f t="shared" si="2"/>
        <v>0.97647058823529409</v>
      </c>
      <c r="F21" s="3">
        <f t="shared" si="3"/>
        <v>0.97541478129713421</v>
      </c>
      <c r="H21" s="4" t="s">
        <v>92</v>
      </c>
      <c r="I21" t="s">
        <v>96</v>
      </c>
    </row>
    <row r="22" spans="1:18" x14ac:dyDescent="0.3">
      <c r="A22" t="s">
        <v>83</v>
      </c>
      <c r="B22" s="1">
        <v>0.77400000000000002</v>
      </c>
      <c r="C22" s="1">
        <v>0.81599999999999995</v>
      </c>
      <c r="D22" s="3">
        <f t="shared" si="2"/>
        <v>0.97435897435897434</v>
      </c>
      <c r="E22" s="3">
        <f t="shared" si="2"/>
        <v>0.97647058823529409</v>
      </c>
      <c r="F22" s="3">
        <f t="shared" si="3"/>
        <v>0.97541478129713421</v>
      </c>
      <c r="H22" s="4">
        <f>H18/(COUNTA(A15:A23)-1)</f>
        <v>0.21826655208923632</v>
      </c>
      <c r="I22">
        <f>_xlfn.F.INV(0.025,I18,I18)</f>
        <v>0.22556764660698242</v>
      </c>
    </row>
    <row r="23" spans="1:18" x14ac:dyDescent="0.3">
      <c r="A23" t="s">
        <v>84</v>
      </c>
      <c r="B23" s="1">
        <v>0.748</v>
      </c>
      <c r="C23" s="1">
        <v>0.79</v>
      </c>
      <c r="D23" s="3">
        <f t="shared" si="2"/>
        <v>0.8076923076923076</v>
      </c>
      <c r="E23" s="3">
        <f t="shared" si="2"/>
        <v>0.82352941176470629</v>
      </c>
      <c r="F23" s="3">
        <f t="shared" si="3"/>
        <v>0.815610859728507</v>
      </c>
      <c r="H23" s="4" t="s">
        <v>91</v>
      </c>
    </row>
    <row r="24" spans="1:18" x14ac:dyDescent="0.3">
      <c r="H24" s="4">
        <f>H20/(2*(COUNTA(A15:A23)))</f>
        <v>1.8791007656237291E-4</v>
      </c>
    </row>
    <row r="25" spans="1:18" x14ac:dyDescent="0.3">
      <c r="A25" s="9" t="s">
        <v>108</v>
      </c>
      <c r="B25" s="9"/>
      <c r="C25" s="9"/>
      <c r="D25" s="9"/>
      <c r="E25" s="9"/>
      <c r="F25" s="9"/>
    </row>
    <row r="26" spans="1:18" ht="43.2" x14ac:dyDescent="0.3">
      <c r="A26" s="7" t="s">
        <v>75</v>
      </c>
      <c r="B26" s="7" t="s">
        <v>113</v>
      </c>
      <c r="C26" s="7" t="s">
        <v>114</v>
      </c>
      <c r="D26" s="7" t="s">
        <v>115</v>
      </c>
      <c r="E26" s="7" t="s">
        <v>116</v>
      </c>
      <c r="F26" s="7" t="s">
        <v>85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3">
      <c r="A27" t="s">
        <v>76</v>
      </c>
      <c r="B27" s="1">
        <v>1149788980.6580999</v>
      </c>
      <c r="C27" s="1">
        <v>1210153362.6716101</v>
      </c>
      <c r="D27" s="3">
        <f>(B27-MIN(B$27:B$35))/(MAX(B$27:B$35)-MIN(B$27:B$35))</f>
        <v>1</v>
      </c>
      <c r="E27" s="3">
        <f>(C27-MIN(C$27:C$35))/(MAX(C$27:C$35)-MIN(C$27:C$35))</f>
        <v>1</v>
      </c>
      <c r="F27" s="3">
        <f>AVERAGE(D27:E27)</f>
        <v>1</v>
      </c>
      <c r="H27" s="8" t="s">
        <v>88</v>
      </c>
      <c r="I27" t="s">
        <v>94</v>
      </c>
      <c r="K27" s="2" t="s">
        <v>99</v>
      </c>
      <c r="L27" s="2"/>
      <c r="M27" s="2"/>
    </row>
    <row r="28" spans="1:18" x14ac:dyDescent="0.3">
      <c r="A28" t="s">
        <v>77</v>
      </c>
      <c r="B28" s="1">
        <v>931336022.42072499</v>
      </c>
      <c r="C28" s="1">
        <v>980231469.18845701</v>
      </c>
      <c r="D28" s="3">
        <f t="shared" ref="D28:E35" si="4">(B28-MIN(B$27:B$35))/(MAX(B$27:B$35)-MIN(B$27:B$35))</f>
        <v>0</v>
      </c>
      <c r="E28" s="3">
        <f t="shared" si="4"/>
        <v>0</v>
      </c>
      <c r="F28" s="3">
        <f t="shared" ref="F28:F35" si="5">AVERAGE(D28:E28)</f>
        <v>0</v>
      </c>
      <c r="H28" s="4">
        <f>AVERAGE(D27:E35)</f>
        <v>0.65671109626937751</v>
      </c>
      <c r="I28">
        <f>H34/H36</f>
        <v>1394.425164237475</v>
      </c>
      <c r="K28" s="4" t="s">
        <v>93</v>
      </c>
      <c r="L28" t="s">
        <v>97</v>
      </c>
      <c r="M28" t="s">
        <v>98</v>
      </c>
    </row>
    <row r="29" spans="1:18" x14ac:dyDescent="0.3">
      <c r="A29" t="s">
        <v>78</v>
      </c>
      <c r="B29" s="1">
        <v>1056683104.06094</v>
      </c>
      <c r="C29" s="1">
        <v>1111477322.08373</v>
      </c>
      <c r="D29" s="3">
        <f t="shared" si="4"/>
        <v>0.57379438873979749</v>
      </c>
      <c r="E29" s="3">
        <f t="shared" si="4"/>
        <v>0.57082799252820893</v>
      </c>
      <c r="F29" s="3">
        <f t="shared" si="5"/>
        <v>0.57231119063400326</v>
      </c>
      <c r="H29" s="4" t="s">
        <v>89</v>
      </c>
      <c r="I29" t="s">
        <v>100</v>
      </c>
      <c r="K29" s="3">
        <f>(H34-H36)/(H34+H36)</f>
        <v>0.99856674506719745</v>
      </c>
      <c r="L29" s="3">
        <f>(I28/I32 - 1) / (I28/I32 + 1)</f>
        <v>0.99366160318625496</v>
      </c>
      <c r="M29" s="3">
        <f>(I28/I34 - 1) / (I28/I34 + 1)</f>
        <v>0.99967652453556988</v>
      </c>
    </row>
    <row r="30" spans="1:18" x14ac:dyDescent="0.3">
      <c r="A30" t="s">
        <v>79</v>
      </c>
      <c r="B30" s="1">
        <v>1098183217.81054</v>
      </c>
      <c r="C30" s="1">
        <v>1154961268.7183499</v>
      </c>
      <c r="D30" s="3">
        <f t="shared" si="4"/>
        <v>0.76376715946558993</v>
      </c>
      <c r="E30" s="3">
        <f t="shared" si="4"/>
        <v>0.75995285565398218</v>
      </c>
      <c r="F30" s="3">
        <f t="shared" si="5"/>
        <v>0.76186000755978611</v>
      </c>
      <c r="H30" s="4" cm="1">
        <f t="array" ref="H30">2*SUMPRODUCT((F27:F35-$H$4)^2)</f>
        <v>2.3115755550231327</v>
      </c>
      <c r="I30">
        <f>COUNTA(A27:A35)-1</f>
        <v>8</v>
      </c>
    </row>
    <row r="31" spans="1:18" x14ac:dyDescent="0.3">
      <c r="A31" t="s">
        <v>80</v>
      </c>
      <c r="B31" s="1">
        <v>958863492.18817699</v>
      </c>
      <c r="C31" s="1">
        <v>1023012579.49306</v>
      </c>
      <c r="D31" s="3">
        <f t="shared" si="4"/>
        <v>0.12601097274929168</v>
      </c>
      <c r="E31" s="3">
        <f t="shared" si="4"/>
        <v>0.18606801490932245</v>
      </c>
      <c r="F31" s="3">
        <f t="shared" si="5"/>
        <v>0.15603949382930707</v>
      </c>
      <c r="H31" s="4" t="s">
        <v>90</v>
      </c>
      <c r="I31" t="s">
        <v>95</v>
      </c>
    </row>
    <row r="32" spans="1:18" x14ac:dyDescent="0.3">
      <c r="A32" t="s">
        <v>81</v>
      </c>
      <c r="B32" s="1">
        <v>1142917184.81497</v>
      </c>
      <c r="C32" s="1">
        <v>1200829783.1813099</v>
      </c>
      <c r="D32" s="3">
        <f t="shared" si="4"/>
        <v>0.96854336101201777</v>
      </c>
      <c r="E32" s="3">
        <f t="shared" si="4"/>
        <v>0.95944892698535755</v>
      </c>
      <c r="F32" s="3">
        <f t="shared" si="5"/>
        <v>0.96399614399868772</v>
      </c>
      <c r="H32" s="4" cm="1">
        <f t="array" ref="H32">SUMPRODUCT((D27:D35-E27:E35)^2)</f>
        <v>3.7298846379082515E-3</v>
      </c>
      <c r="I32">
        <f>_xlfn.F.INV.RT(0.025,I30,I30)</f>
        <v>4.4332598891823745</v>
      </c>
    </row>
    <row r="33" spans="1:18" x14ac:dyDescent="0.3">
      <c r="A33" t="s">
        <v>82</v>
      </c>
      <c r="B33" s="1">
        <v>1139907250.3055</v>
      </c>
      <c r="C33" s="1">
        <v>1198815942.20028</v>
      </c>
      <c r="D33" s="3">
        <f t="shared" si="4"/>
        <v>0.95476495062217381</v>
      </c>
      <c r="E33" s="3">
        <f t="shared" si="4"/>
        <v>0.95069012219942906</v>
      </c>
      <c r="F33" s="3">
        <f t="shared" si="5"/>
        <v>0.95272753641080143</v>
      </c>
      <c r="H33" s="4" t="s">
        <v>92</v>
      </c>
      <c r="I33" t="s">
        <v>96</v>
      </c>
    </row>
    <row r="34" spans="1:18" x14ac:dyDescent="0.3">
      <c r="A34" t="s">
        <v>83</v>
      </c>
      <c r="B34" s="1">
        <v>1139982449.26666</v>
      </c>
      <c r="C34" s="1">
        <v>1199719679.5782599</v>
      </c>
      <c r="D34" s="3">
        <f t="shared" si="4"/>
        <v>0.9551091847390597</v>
      </c>
      <c r="E34" s="3">
        <f t="shared" si="4"/>
        <v>0.95462074996301005</v>
      </c>
      <c r="F34" s="3">
        <f t="shared" si="5"/>
        <v>0.95486496735103488</v>
      </c>
      <c r="H34" s="4">
        <f>H30/(COUNTA(A27:A35)-1)</f>
        <v>0.28894694437789159</v>
      </c>
      <c r="I34">
        <f>_xlfn.F.INV(0.025,I30,I30)</f>
        <v>0.22556764660698242</v>
      </c>
    </row>
    <row r="35" spans="1:18" x14ac:dyDescent="0.3">
      <c r="A35" t="s">
        <v>84</v>
      </c>
      <c r="B35" s="1">
        <v>1051139093.47796</v>
      </c>
      <c r="C35" s="1">
        <v>1106409195.6322899</v>
      </c>
      <c r="D35" s="3">
        <f t="shared" si="4"/>
        <v>0.54841587874976194</v>
      </c>
      <c r="E35" s="3">
        <f t="shared" si="4"/>
        <v>0.54878517453179465</v>
      </c>
      <c r="F35" s="3">
        <f t="shared" si="5"/>
        <v>0.5486005266407783</v>
      </c>
      <c r="H35" s="4" t="s">
        <v>91</v>
      </c>
    </row>
    <row r="36" spans="1:18" x14ac:dyDescent="0.3">
      <c r="H36" s="4">
        <f>H32/(2*(COUNTA(A27:A35)))</f>
        <v>2.0721581321712508E-4</v>
      </c>
    </row>
    <row r="37" spans="1:18" x14ac:dyDescent="0.3">
      <c r="A37" s="9" t="s">
        <v>108</v>
      </c>
      <c r="B37" s="9"/>
      <c r="C37" s="9"/>
      <c r="D37" s="9"/>
      <c r="E37" s="9"/>
      <c r="F37" s="9"/>
    </row>
    <row r="38" spans="1:18" ht="43.2" x14ac:dyDescent="0.3">
      <c r="A38" s="7" t="s">
        <v>75</v>
      </c>
      <c r="B38" s="7" t="s">
        <v>117</v>
      </c>
      <c r="C38" s="7" t="s">
        <v>118</v>
      </c>
      <c r="D38" s="7" t="s">
        <v>119</v>
      </c>
      <c r="E38" s="7" t="s">
        <v>120</v>
      </c>
      <c r="F38" s="7" t="s">
        <v>85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3">
      <c r="A39" t="s">
        <v>76</v>
      </c>
      <c r="B39" s="1">
        <v>128501.09085053</v>
      </c>
      <c r="C39" s="1">
        <v>142400.52495439799</v>
      </c>
      <c r="D39" s="3">
        <f>(B39-MIN(B$39:B$47))/(MAX(B$39:B$47)-MIN(B$39:B$47))</f>
        <v>1</v>
      </c>
      <c r="E39" s="3">
        <f>(C39-MIN(C$39:C$47))/(MAX(C$39:C$47)-MIN(C$39:C$47))</f>
        <v>1</v>
      </c>
      <c r="F39" s="3">
        <f>AVERAGE(D39:E39)</f>
        <v>1</v>
      </c>
      <c r="H39" s="8" t="s">
        <v>88</v>
      </c>
      <c r="I39" t="s">
        <v>94</v>
      </c>
      <c r="K39" s="2" t="s">
        <v>99</v>
      </c>
      <c r="L39" s="2"/>
      <c r="M39" s="2"/>
    </row>
    <row r="40" spans="1:18" x14ac:dyDescent="0.3">
      <c r="A40" t="s">
        <v>77</v>
      </c>
      <c r="B40" s="1">
        <v>115650.981765476</v>
      </c>
      <c r="C40" s="1">
        <v>128160.472458959</v>
      </c>
      <c r="D40" s="3">
        <f t="shared" ref="D40:E47" si="6">(B40-MIN(B$39:B$47))/(MAX(B$39:B$47)-MIN(B$39:B$47))</f>
        <v>0</v>
      </c>
      <c r="E40" s="3">
        <f t="shared" si="6"/>
        <v>0</v>
      </c>
      <c r="F40" s="3">
        <f t="shared" ref="F40:F47" si="7">AVERAGE(D40:E40)</f>
        <v>0</v>
      </c>
      <c r="H40" s="4">
        <f>AVERAGE(D39:E47)</f>
        <v>0.66986500965590456</v>
      </c>
      <c r="I40">
        <f>H46/H48</f>
        <v>45.364725384787747</v>
      </c>
      <c r="K40" s="4" t="s">
        <v>93</v>
      </c>
      <c r="L40" t="s">
        <v>97</v>
      </c>
      <c r="M40" t="s">
        <v>98</v>
      </c>
    </row>
    <row r="41" spans="1:18" x14ac:dyDescent="0.3">
      <c r="A41" t="s">
        <v>78</v>
      </c>
      <c r="B41" s="1">
        <v>123350.19304841899</v>
      </c>
      <c r="C41" s="1">
        <v>138422.49585817</v>
      </c>
      <c r="D41" s="3">
        <f t="shared" si="6"/>
        <v>0.59915532482895173</v>
      </c>
      <c r="E41" s="3">
        <f t="shared" si="6"/>
        <v>0.72064505397700429</v>
      </c>
      <c r="F41" s="3">
        <f t="shared" si="7"/>
        <v>0.65990018940297801</v>
      </c>
      <c r="H41" s="4" t="s">
        <v>89</v>
      </c>
      <c r="I41" t="s">
        <v>100</v>
      </c>
      <c r="K41" s="3">
        <f>(H46-H48)/(H46+H48)</f>
        <v>0.9568637583119125</v>
      </c>
      <c r="L41" s="3">
        <f>(I40/I44 - 1) / (I40/I44 + 1)</f>
        <v>0.82195023092632302</v>
      </c>
      <c r="M41" s="3">
        <f>(I40/I46 - 1) / (I40/I46 + 1)</f>
        <v>0.99010457570642718</v>
      </c>
    </row>
    <row r="42" spans="1:18" x14ac:dyDescent="0.3">
      <c r="A42" t="s">
        <v>79</v>
      </c>
      <c r="B42" s="1">
        <v>125144.363950507</v>
      </c>
      <c r="C42" s="1">
        <v>138640.946659571</v>
      </c>
      <c r="D42" s="3">
        <f t="shared" si="6"/>
        <v>0.73877833426898931</v>
      </c>
      <c r="E42" s="3">
        <f t="shared" si="6"/>
        <v>0.73598564359006646</v>
      </c>
      <c r="F42" s="3">
        <f t="shared" si="7"/>
        <v>0.73738198892952789</v>
      </c>
      <c r="H42" s="4" cm="1">
        <f t="array" ref="H42">2*SUMPRODUCT((F39:F47-$H$4)^2)</f>
        <v>2.1843244177455121</v>
      </c>
      <c r="I42">
        <f>COUNTA(A39:A47)-1</f>
        <v>8</v>
      </c>
    </row>
    <row r="43" spans="1:18" x14ac:dyDescent="0.3">
      <c r="A43" t="s">
        <v>80</v>
      </c>
      <c r="B43" s="1">
        <v>119455.555275726</v>
      </c>
      <c r="C43" s="1">
        <v>129174.887730792</v>
      </c>
      <c r="D43" s="3">
        <f t="shared" si="6"/>
        <v>0.29607324615439357</v>
      </c>
      <c r="E43" s="3">
        <f t="shared" si="6"/>
        <v>7.1236764903634495E-2</v>
      </c>
      <c r="F43" s="3">
        <f t="shared" si="7"/>
        <v>0.18365500552901404</v>
      </c>
      <c r="H43" s="4" t="s">
        <v>90</v>
      </c>
      <c r="I43" t="s">
        <v>95</v>
      </c>
    </row>
    <row r="44" spans="1:18" x14ac:dyDescent="0.3">
      <c r="A44" t="s">
        <v>81</v>
      </c>
      <c r="B44" s="1">
        <v>128418.736516779</v>
      </c>
      <c r="C44" s="1">
        <v>141582.860165238</v>
      </c>
      <c r="D44" s="3">
        <f t="shared" si="6"/>
        <v>0.99359115683719823</v>
      </c>
      <c r="E44" s="3">
        <f t="shared" si="6"/>
        <v>0.94257993154014852</v>
      </c>
      <c r="F44" s="3">
        <f t="shared" si="7"/>
        <v>0.96808554418867332</v>
      </c>
      <c r="H44" s="4" cm="1">
        <f t="array" ref="H44">SUMPRODUCT((D39:D47-E39:E47)^2)</f>
        <v>0.10833813934153053</v>
      </c>
      <c r="I44">
        <f>_xlfn.F.INV.RT(0.025,I42,I42)</f>
        <v>4.4332598891823745</v>
      </c>
    </row>
    <row r="45" spans="1:18" x14ac:dyDescent="0.3">
      <c r="A45" t="s">
        <v>82</v>
      </c>
      <c r="B45" s="1">
        <v>127947.374520991</v>
      </c>
      <c r="C45" s="1">
        <v>141486.27200767901</v>
      </c>
      <c r="D45" s="3">
        <f t="shared" si="6"/>
        <v>0.95690960085443677</v>
      </c>
      <c r="E45" s="3">
        <f t="shared" si="6"/>
        <v>0.93579708031190156</v>
      </c>
      <c r="F45" s="3">
        <f t="shared" si="7"/>
        <v>0.94635334058316922</v>
      </c>
      <c r="H45" s="4" t="s">
        <v>92</v>
      </c>
      <c r="I45" t="s">
        <v>96</v>
      </c>
    </row>
    <row r="46" spans="1:18" x14ac:dyDescent="0.3">
      <c r="A46" t="s">
        <v>83</v>
      </c>
      <c r="B46" s="1">
        <v>127952.149361517</v>
      </c>
      <c r="C46" s="1">
        <v>141732.750329826</v>
      </c>
      <c r="D46" s="3">
        <f t="shared" si="6"/>
        <v>0.95728118062036727</v>
      </c>
      <c r="E46" s="3">
        <f t="shared" si="6"/>
        <v>0.95310588744066249</v>
      </c>
      <c r="F46" s="3">
        <f t="shared" si="7"/>
        <v>0.95519353403051488</v>
      </c>
      <c r="H46" s="4">
        <f>H42/(COUNTA(A39:A47)-1)</f>
        <v>0.27304055221818901</v>
      </c>
      <c r="I46">
        <f>_xlfn.F.INV(0.025,I42,I42)</f>
        <v>0.22556764660698242</v>
      </c>
    </row>
    <row r="47" spans="1:18" x14ac:dyDescent="0.3">
      <c r="A47" t="s">
        <v>84</v>
      </c>
      <c r="B47" s="1">
        <v>124365.382829625</v>
      </c>
      <c r="C47" s="1">
        <v>134971.10819750599</v>
      </c>
      <c r="D47" s="3">
        <f t="shared" si="6"/>
        <v>0.67815774998242961</v>
      </c>
      <c r="E47" s="3">
        <f t="shared" si="6"/>
        <v>0.47827321849609761</v>
      </c>
      <c r="F47" s="3">
        <f t="shared" si="7"/>
        <v>0.57821548423926361</v>
      </c>
      <c r="H47" s="4" t="s">
        <v>91</v>
      </c>
    </row>
    <row r="48" spans="1:18" x14ac:dyDescent="0.3">
      <c r="H48" s="4">
        <f>H44/(2*(COUNTA(A39:A47)))</f>
        <v>6.0187855189739181E-3</v>
      </c>
    </row>
    <row r="49" spans="1:18" x14ac:dyDescent="0.3">
      <c r="A49" s="9" t="s">
        <v>108</v>
      </c>
      <c r="B49" s="9"/>
      <c r="C49" s="9"/>
      <c r="D49" s="9"/>
      <c r="E49" s="9"/>
      <c r="F49" s="9"/>
    </row>
    <row r="50" spans="1:18" ht="43.2" x14ac:dyDescent="0.3">
      <c r="A50" s="7" t="s">
        <v>75</v>
      </c>
      <c r="B50" s="7" t="s">
        <v>121</v>
      </c>
      <c r="C50" s="7" t="s">
        <v>122</v>
      </c>
      <c r="D50" s="7" t="s">
        <v>123</v>
      </c>
      <c r="E50" s="7" t="s">
        <v>124</v>
      </c>
      <c r="F50" s="7" t="s">
        <v>85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3">
      <c r="A51" t="s">
        <v>76</v>
      </c>
      <c r="B51" s="1">
        <v>17806.595937864</v>
      </c>
      <c r="C51" s="1">
        <v>17667.5735387186</v>
      </c>
      <c r="D51" s="3">
        <f>(B51-MIN(B$51:B$59))/(MAX(B$51:B$59)-MIN(B$51:B$59))</f>
        <v>1</v>
      </c>
      <c r="E51" s="3">
        <f>(C51-MIN(C$51:C$59))/(MAX(C$51:C$59)-MIN(C$51:C$59))</f>
        <v>1</v>
      </c>
      <c r="F51" s="3">
        <f>AVERAGE(D51:E51)</f>
        <v>1</v>
      </c>
      <c r="H51" s="8" t="s">
        <v>88</v>
      </c>
      <c r="I51" t="s">
        <v>94</v>
      </c>
      <c r="K51" s="2" t="s">
        <v>99</v>
      </c>
      <c r="L51" s="2"/>
      <c r="M51" s="2"/>
    </row>
    <row r="52" spans="1:18" x14ac:dyDescent="0.3">
      <c r="A52" t="s">
        <v>77</v>
      </c>
      <c r="B52" s="1">
        <v>14944.2575444672</v>
      </c>
      <c r="C52" s="1">
        <v>12851.399379160501</v>
      </c>
      <c r="D52" s="3">
        <f t="shared" ref="D52:E59" si="8">(B52-MIN(B$51:B$59))/(MAX(B$51:B$59)-MIN(B$51:B$59))</f>
        <v>0.77759911806253468</v>
      </c>
      <c r="E52" s="3">
        <f t="shared" si="8"/>
        <v>0.58469524020657537</v>
      </c>
      <c r="F52" s="3">
        <f t="shared" ref="F52:F59" si="9">AVERAGE(D52:E52)</f>
        <v>0.68114717913455503</v>
      </c>
      <c r="H52" s="4">
        <f>AVERAGE(D51:E59)</f>
        <v>0.81755555364739763</v>
      </c>
      <c r="I52">
        <f>H58/H60</f>
        <v>68.634504534889572</v>
      </c>
      <c r="K52" s="4" t="s">
        <v>93</v>
      </c>
      <c r="L52" t="s">
        <v>97</v>
      </c>
      <c r="M52" t="s">
        <v>98</v>
      </c>
    </row>
    <row r="53" spans="1:18" x14ac:dyDescent="0.3">
      <c r="A53" t="s">
        <v>78</v>
      </c>
      <c r="B53" s="1">
        <v>17630.317138252001</v>
      </c>
      <c r="C53" s="1">
        <v>15866.499552511499</v>
      </c>
      <c r="D53" s="3">
        <f t="shared" si="8"/>
        <v>0.98630331040137387</v>
      </c>
      <c r="E53" s="3">
        <f t="shared" si="8"/>
        <v>0.84469112319630979</v>
      </c>
      <c r="F53" s="3">
        <f t="shared" si="9"/>
        <v>0.91549721679884177</v>
      </c>
      <c r="H53" s="4" t="s">
        <v>89</v>
      </c>
      <c r="I53" t="s">
        <v>100</v>
      </c>
      <c r="K53" s="3">
        <f>(H58-H60)/(H58+H60)</f>
        <v>0.97127860658507426</v>
      </c>
      <c r="L53" s="3">
        <f>(I52/I56 - 1) / (I52/I56 + 1)</f>
        <v>0.87865346848570469</v>
      </c>
      <c r="M53" s="3">
        <f>(I52/I58 - 1) / (I52/I58 + 1)</f>
        <v>0.99344852134303763</v>
      </c>
    </row>
    <row r="54" spans="1:18" x14ac:dyDescent="0.3">
      <c r="A54" t="s">
        <v>79</v>
      </c>
      <c r="B54" s="1">
        <v>17059.925068798198</v>
      </c>
      <c r="C54" s="1">
        <v>16797.804653777901</v>
      </c>
      <c r="D54" s="3">
        <f t="shared" si="8"/>
        <v>0.94198440681215867</v>
      </c>
      <c r="E54" s="3">
        <f t="shared" si="8"/>
        <v>0.92499873429219281</v>
      </c>
      <c r="F54" s="3">
        <f t="shared" si="9"/>
        <v>0.9334915705521758</v>
      </c>
      <c r="H54" s="4" cm="1">
        <f t="array" ref="H54">2*SUMPRODUCT((F51:F59-$H$4)^2)</f>
        <v>1.7784452778442212</v>
      </c>
      <c r="I54">
        <f>COUNTA(A51:A59)-1</f>
        <v>8</v>
      </c>
    </row>
    <row r="55" spans="1:18" x14ac:dyDescent="0.3">
      <c r="A55" t="s">
        <v>80</v>
      </c>
      <c r="B55" s="1">
        <v>4936.4203861248097</v>
      </c>
      <c r="C55" s="1">
        <v>6070.8507803430502</v>
      </c>
      <c r="D55" s="3">
        <f t="shared" si="8"/>
        <v>0</v>
      </c>
      <c r="E55" s="3">
        <f t="shared" si="8"/>
        <v>0</v>
      </c>
      <c r="F55" s="3">
        <f t="shared" si="9"/>
        <v>0</v>
      </c>
      <c r="H55" s="4" t="s">
        <v>90</v>
      </c>
      <c r="I55" t="s">
        <v>95</v>
      </c>
    </row>
    <row r="56" spans="1:18" x14ac:dyDescent="0.3">
      <c r="A56" t="s">
        <v>81</v>
      </c>
      <c r="B56" s="1">
        <v>17569.083591913601</v>
      </c>
      <c r="C56" s="1">
        <v>17569.8591660454</v>
      </c>
      <c r="D56" s="3">
        <f t="shared" si="8"/>
        <v>0.98154552399106132</v>
      </c>
      <c r="E56" s="3">
        <f t="shared" si="8"/>
        <v>0.9915739666534128</v>
      </c>
      <c r="F56" s="3">
        <f t="shared" si="9"/>
        <v>0.986559745322237</v>
      </c>
      <c r="H56" s="4" cm="1">
        <f t="array" ref="H56">SUMPRODUCT((D51:D59-E51:E59)^2)</f>
        <v>5.8301606491751971E-2</v>
      </c>
      <c r="I56">
        <f>_xlfn.F.INV.RT(0.025,I54,I54)</f>
        <v>4.4332598891823745</v>
      </c>
    </row>
    <row r="57" spans="1:18" x14ac:dyDescent="0.3">
      <c r="A57" t="s">
        <v>82</v>
      </c>
      <c r="B57" s="1">
        <v>17402.294168798999</v>
      </c>
      <c r="C57" s="1">
        <v>17269.9924206326</v>
      </c>
      <c r="D57" s="3">
        <f t="shared" si="8"/>
        <v>0.96858614962634548</v>
      </c>
      <c r="E57" s="3">
        <f t="shared" si="8"/>
        <v>0.96571607976065021</v>
      </c>
      <c r="F57" s="3">
        <f t="shared" si="9"/>
        <v>0.9671511146934979</v>
      </c>
      <c r="H57" s="4" t="s">
        <v>92</v>
      </c>
      <c r="I57" t="s">
        <v>96</v>
      </c>
    </row>
    <row r="58" spans="1:18" x14ac:dyDescent="0.3">
      <c r="A58" t="s">
        <v>83</v>
      </c>
      <c r="B58" s="1">
        <v>17590.126953601201</v>
      </c>
      <c r="C58" s="1">
        <v>17571.300164807399</v>
      </c>
      <c r="D58" s="3">
        <f t="shared" si="8"/>
        <v>0.98318057252656921</v>
      </c>
      <c r="E58" s="3">
        <f t="shared" si="8"/>
        <v>0.991698225790414</v>
      </c>
      <c r="F58" s="3">
        <f t="shared" si="9"/>
        <v>0.98743939915849155</v>
      </c>
      <c r="H58" s="4">
        <f>H54/(COUNTA(A51:A59)-1)</f>
        <v>0.22230565973052765</v>
      </c>
      <c r="I58">
        <f>_xlfn.F.INV(0.025,I54,I54)</f>
        <v>0.22556764660698242</v>
      </c>
    </row>
    <row r="59" spans="1:18" x14ac:dyDescent="0.3">
      <c r="A59" t="s">
        <v>84</v>
      </c>
      <c r="B59" s="1">
        <v>16501.653134099699</v>
      </c>
      <c r="C59" s="1">
        <v>16215.8991299882</v>
      </c>
      <c r="D59" s="3">
        <f t="shared" si="8"/>
        <v>0.89860722578970886</v>
      </c>
      <c r="E59" s="3">
        <f t="shared" si="8"/>
        <v>0.87482028854385163</v>
      </c>
      <c r="F59" s="3">
        <f t="shared" si="9"/>
        <v>0.88671375716678025</v>
      </c>
      <c r="H59" s="4" t="s">
        <v>91</v>
      </c>
    </row>
    <row r="60" spans="1:18" x14ac:dyDescent="0.3">
      <c r="H60" s="4">
        <f>H56/(2*(COUNTA(A51:A59)))</f>
        <v>3.2389781384306649E-3</v>
      </c>
    </row>
  </sheetData>
  <mergeCells count="5">
    <mergeCell ref="A1:F1"/>
    <mergeCell ref="A13:F13"/>
    <mergeCell ref="A25:F25"/>
    <mergeCell ref="A37:F37"/>
    <mergeCell ref="A49:F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884F-05B3-4800-8452-CAFD50E1832F}">
  <dimension ref="A1:R60"/>
  <sheetViews>
    <sheetView topLeftCell="A37" workbookViewId="0">
      <selection activeCell="M53" sqref="K53:M53"/>
    </sheetView>
  </sheetViews>
  <sheetFormatPr defaultRowHeight="14.4" x14ac:dyDescent="0.3"/>
  <cols>
    <col min="1" max="1" width="11" bestFit="1" customWidth="1"/>
    <col min="2" max="3" width="11" customWidth="1"/>
    <col min="4" max="5" width="14.77734375" bestFit="1" customWidth="1"/>
    <col min="6" max="6" width="12" bestFit="1" customWidth="1"/>
    <col min="11" max="11" width="8.88671875" customWidth="1"/>
  </cols>
  <sheetData>
    <row r="1" spans="1:18" x14ac:dyDescent="0.3">
      <c r="A1" s="9" t="s">
        <v>108</v>
      </c>
      <c r="B1" s="9"/>
      <c r="C1" s="9"/>
      <c r="D1" s="9"/>
      <c r="E1" s="9"/>
      <c r="F1" s="9"/>
    </row>
    <row r="2" spans="1:18" s="7" customFormat="1" ht="43.2" x14ac:dyDescent="0.3">
      <c r="A2" s="7" t="s">
        <v>75</v>
      </c>
      <c r="B2" s="7" t="s">
        <v>106</v>
      </c>
      <c r="C2" s="7" t="s">
        <v>107</v>
      </c>
      <c r="D2" s="7" t="s">
        <v>104</v>
      </c>
      <c r="E2" s="7" t="s">
        <v>105</v>
      </c>
      <c r="F2" s="7" t="s">
        <v>85</v>
      </c>
    </row>
    <row r="3" spans="1:18" x14ac:dyDescent="0.3">
      <c r="A3" t="s">
        <v>76</v>
      </c>
      <c r="B3" s="1">
        <v>279404.08268146199</v>
      </c>
      <c r="C3" s="1">
        <v>264475.91695382801</v>
      </c>
      <c r="D3" s="3">
        <f>(B3-MIN(B$3:B$11))/(MAX(B$3:B$11)-MIN(B$3:B$11))</f>
        <v>0.60639315582734643</v>
      </c>
      <c r="E3" s="3">
        <f>(C3-MIN(C$3:C$11))/(MAX(C$3:C$11)-MIN(C$3:C$11))</f>
        <v>0.60878900242310618</v>
      </c>
      <c r="F3" s="3">
        <f>AVERAGE(D3:E3)</f>
        <v>0.60759107912522636</v>
      </c>
      <c r="H3" s="8" t="s">
        <v>88</v>
      </c>
      <c r="I3" t="s">
        <v>94</v>
      </c>
      <c r="K3" s="2" t="s">
        <v>99</v>
      </c>
      <c r="L3" s="2"/>
      <c r="M3" s="2"/>
    </row>
    <row r="4" spans="1:18" x14ac:dyDescent="0.3">
      <c r="A4" t="s">
        <v>77</v>
      </c>
      <c r="B4" s="1">
        <v>251463.67441331601</v>
      </c>
      <c r="C4" s="1">
        <v>238028.32525844499</v>
      </c>
      <c r="D4" s="3">
        <f t="shared" ref="D4:E11" si="0">(B4-MIN(B$3:B$11))/(MAX(B$3:B$11)-MIN(B$3:B$11))</f>
        <v>0</v>
      </c>
      <c r="E4" s="3">
        <f t="shared" si="0"/>
        <v>0</v>
      </c>
      <c r="F4" s="3">
        <f t="shared" ref="F4:F11" si="1">AVERAGE(D4:E4)</f>
        <v>0</v>
      </c>
      <c r="H4" s="4">
        <f>AVERAGE(D3:E11)</f>
        <v>0.59677377813022781</v>
      </c>
      <c r="I4">
        <f>H10/H12</f>
        <v>21060.169716714714</v>
      </c>
      <c r="K4" s="4" t="s">
        <v>93</v>
      </c>
      <c r="L4" t="s">
        <v>97</v>
      </c>
      <c r="M4" t="s">
        <v>98</v>
      </c>
    </row>
    <row r="5" spans="1:18" x14ac:dyDescent="0.3">
      <c r="A5" t="s">
        <v>78</v>
      </c>
      <c r="B5" s="1">
        <v>282329.16134193598</v>
      </c>
      <c r="C5" s="1">
        <v>267400.91983877699</v>
      </c>
      <c r="D5" s="3">
        <f t="shared" si="0"/>
        <v>0.66987639712236513</v>
      </c>
      <c r="E5" s="3">
        <f t="shared" si="0"/>
        <v>0.67611874680673767</v>
      </c>
      <c r="F5" s="3">
        <f t="shared" si="1"/>
        <v>0.67299757196455134</v>
      </c>
      <c r="H5" s="4" t="s">
        <v>89</v>
      </c>
      <c r="I5" t="s">
        <v>100</v>
      </c>
      <c r="K5" s="3">
        <f>(H10-H12)/(H10+H12)</f>
        <v>0.9999050385127275</v>
      </c>
      <c r="L5" s="3">
        <f>(I4/I8 - 1) / (I4/I8 + 1)</f>
        <v>0.99957907966325243</v>
      </c>
      <c r="M5" s="3">
        <f>(I4/I10 - 1) / (I4/I10 + 1)</f>
        <v>0.99997857897313314</v>
      </c>
    </row>
    <row r="6" spans="1:18" x14ac:dyDescent="0.3">
      <c r="A6" t="s">
        <v>79</v>
      </c>
      <c r="B6" s="1">
        <v>279925.741954175</v>
      </c>
      <c r="C6" s="1">
        <v>265042.19648503902</v>
      </c>
      <c r="D6" s="3">
        <f>(B6-MIN(B$3:B$11))/(MAX(B$3:B$11)-MIN(B$3:B$11))</f>
        <v>0.61771477323576762</v>
      </c>
      <c r="E6" s="3">
        <f t="shared" si="0"/>
        <v>0.6218240172883257</v>
      </c>
      <c r="F6" s="3">
        <f t="shared" si="1"/>
        <v>0.61976939526204666</v>
      </c>
      <c r="H6" s="4" cm="1">
        <f t="array" ref="H6">2*SUMPRODUCT((F3:F11-$H$4)^2)</f>
        <v>1.0549106264450492</v>
      </c>
      <c r="I6">
        <f>COUNTA(A3:A11)-1</f>
        <v>8</v>
      </c>
    </row>
    <row r="7" spans="1:18" x14ac:dyDescent="0.3">
      <c r="A7" t="s">
        <v>80</v>
      </c>
      <c r="B7" s="1">
        <v>297540.065612067</v>
      </c>
      <c r="C7" s="1">
        <v>281471.27772656799</v>
      </c>
      <c r="D7" s="3">
        <f t="shared" si="0"/>
        <v>1</v>
      </c>
      <c r="E7" s="3">
        <f t="shared" si="0"/>
        <v>1</v>
      </c>
      <c r="F7" s="3">
        <f t="shared" si="1"/>
        <v>1</v>
      </c>
      <c r="H7" s="4" t="s">
        <v>90</v>
      </c>
      <c r="I7" t="s">
        <v>95</v>
      </c>
    </row>
    <row r="8" spans="1:18" x14ac:dyDescent="0.3">
      <c r="A8" t="s">
        <v>81</v>
      </c>
      <c r="B8" s="1">
        <v>280668.58018334798</v>
      </c>
      <c r="C8" s="1">
        <v>265786.739065253</v>
      </c>
      <c r="D8" s="3">
        <f t="shared" si="0"/>
        <v>0.63383665713003223</v>
      </c>
      <c r="E8" s="3">
        <f t="shared" si="0"/>
        <v>0.63896241460973935</v>
      </c>
      <c r="F8" s="3">
        <f t="shared" si="1"/>
        <v>0.63639953586988574</v>
      </c>
      <c r="H8" s="4" cm="1">
        <f t="array" ref="H8">SUMPRODUCT((D3:D11-E3:E11)^2)</f>
        <v>1.1270321851288589E-4</v>
      </c>
      <c r="I8">
        <f>_xlfn.F.INV.RT(0.025,I6,I6)</f>
        <v>4.4332598891823745</v>
      </c>
    </row>
    <row r="9" spans="1:18" x14ac:dyDescent="0.3">
      <c r="A9" t="s">
        <v>82</v>
      </c>
      <c r="B9" s="1">
        <v>279834.49548591301</v>
      </c>
      <c r="C9" s="1">
        <v>264931.052813243</v>
      </c>
      <c r="D9" s="3">
        <f t="shared" si="0"/>
        <v>0.61573444305173919</v>
      </c>
      <c r="E9" s="3">
        <f>(C9-MIN(C$3:C$11))/(MAX(C$3:C$11)-MIN(C$3:C$11))</f>
        <v>0.61926563519222921</v>
      </c>
      <c r="F9" s="3">
        <f t="shared" si="1"/>
        <v>0.61750003912198426</v>
      </c>
      <c r="H9" s="4" t="s">
        <v>92</v>
      </c>
      <c r="I9" t="s">
        <v>96</v>
      </c>
    </row>
    <row r="10" spans="1:18" x14ac:dyDescent="0.3">
      <c r="A10" t="s">
        <v>83</v>
      </c>
      <c r="B10" s="1">
        <v>279470.199866726</v>
      </c>
      <c r="C10" s="1">
        <v>264546.01215880102</v>
      </c>
      <c r="D10" s="3">
        <f t="shared" si="0"/>
        <v>0.60782810295631784</v>
      </c>
      <c r="E10" s="3">
        <f t="shared" si="0"/>
        <v>0.61040250244993899</v>
      </c>
      <c r="F10" s="3">
        <f t="shared" si="1"/>
        <v>0.60911530270312841</v>
      </c>
      <c r="H10" s="4">
        <f>H6/(COUNTA(A3:A11)-1)</f>
        <v>0.13186382830563115</v>
      </c>
      <c r="I10">
        <f>_xlfn.F.INV(0.025,I6,I6)</f>
        <v>0.22556764660698242</v>
      </c>
    </row>
    <row r="11" spans="1:18" x14ac:dyDescent="0.3">
      <c r="A11" t="s">
        <v>84</v>
      </c>
      <c r="B11" s="1">
        <v>279404.08268146199</v>
      </c>
      <c r="C11" s="1">
        <v>264475.91695382801</v>
      </c>
      <c r="D11" s="3">
        <f t="shared" si="0"/>
        <v>0.60639315582734643</v>
      </c>
      <c r="E11" s="3">
        <f t="shared" si="0"/>
        <v>0.60878900242310618</v>
      </c>
      <c r="F11" s="3">
        <f t="shared" si="1"/>
        <v>0.60759107912522636</v>
      </c>
      <c r="H11" s="4" t="s">
        <v>91</v>
      </c>
    </row>
    <row r="12" spans="1:18" x14ac:dyDescent="0.3">
      <c r="H12" s="4">
        <f>H8/(2*(COUNTA(A3:A11)))</f>
        <v>6.26128991738255E-6</v>
      </c>
    </row>
    <row r="13" spans="1:18" x14ac:dyDescent="0.3">
      <c r="A13" s="9" t="s">
        <v>108</v>
      </c>
      <c r="B13" s="9"/>
      <c r="C13" s="9"/>
      <c r="D13" s="9"/>
      <c r="E13" s="9"/>
      <c r="F13" s="9"/>
    </row>
    <row r="14" spans="1:18" ht="43.2" x14ac:dyDescent="0.3">
      <c r="A14" s="7" t="s">
        <v>75</v>
      </c>
      <c r="B14" s="7" t="s">
        <v>125</v>
      </c>
      <c r="C14" s="7" t="s">
        <v>126</v>
      </c>
      <c r="D14" s="7" t="s">
        <v>127</v>
      </c>
      <c r="E14" s="7" t="s">
        <v>128</v>
      </c>
      <c r="F14" s="7" t="s">
        <v>85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3">
      <c r="A15" t="s">
        <v>76</v>
      </c>
      <c r="B15" s="1">
        <v>0.67400000000000004</v>
      </c>
      <c r="C15" s="1">
        <v>0.61599999999999999</v>
      </c>
      <c r="D15" s="3">
        <f>(B15-MIN(B$15:B$23))/(MAX(B$15:B$23)-MIN(B$15:B$23))</f>
        <v>0.65000000000000091</v>
      </c>
      <c r="E15" s="3">
        <f>(C15-MIN(C$15:C$23))/(MAX(C$15:C$23)-MIN(C$15:C$23))</f>
        <v>0.62790697674418561</v>
      </c>
      <c r="F15" s="3">
        <f>AVERAGE(D15:E15)</f>
        <v>0.63895348837209331</v>
      </c>
      <c r="H15" s="8" t="s">
        <v>88</v>
      </c>
      <c r="I15" t="s">
        <v>94</v>
      </c>
      <c r="K15" s="2" t="s">
        <v>99</v>
      </c>
      <c r="L15" s="2"/>
      <c r="M15" s="2"/>
    </row>
    <row r="16" spans="1:18" x14ac:dyDescent="0.3">
      <c r="A16" t="s">
        <v>77</v>
      </c>
      <c r="B16" s="1">
        <v>0.622</v>
      </c>
      <c r="C16" s="1">
        <v>0.56200000000000006</v>
      </c>
      <c r="D16" s="3">
        <f t="shared" ref="D16:E23" si="2">(B16-MIN(B$15:B$23))/(MAX(B$15:B$23)-MIN(B$15:B$23))</f>
        <v>0</v>
      </c>
      <c r="E16" s="3">
        <f t="shared" si="2"/>
        <v>0</v>
      </c>
      <c r="F16" s="3">
        <f t="shared" ref="F16:F23" si="3">AVERAGE(D16:E16)</f>
        <v>0</v>
      </c>
      <c r="H16" s="4">
        <f>AVERAGE(D15:E23)</f>
        <v>0.62990956072351434</v>
      </c>
      <c r="I16">
        <f>H22/H24</f>
        <v>108.3752134023359</v>
      </c>
      <c r="K16" s="4" t="s">
        <v>93</v>
      </c>
      <c r="L16" t="s">
        <v>97</v>
      </c>
      <c r="M16" t="s">
        <v>98</v>
      </c>
    </row>
    <row r="17" spans="1:18" x14ac:dyDescent="0.3">
      <c r="A17" t="s">
        <v>78</v>
      </c>
      <c r="B17" s="1">
        <v>0.68400000000000005</v>
      </c>
      <c r="C17" s="1">
        <v>0.622</v>
      </c>
      <c r="D17" s="3">
        <f t="shared" si="2"/>
        <v>0.77500000000000102</v>
      </c>
      <c r="E17" s="3">
        <f t="shared" si="2"/>
        <v>0.69767441860465074</v>
      </c>
      <c r="F17" s="3">
        <f t="shared" si="3"/>
        <v>0.73633720930232593</v>
      </c>
      <c r="H17" s="4" t="s">
        <v>89</v>
      </c>
      <c r="I17" t="s">
        <v>100</v>
      </c>
      <c r="K17" s="3">
        <f>(H22-H24)/(H22+H24)</f>
        <v>0.98171432139160264</v>
      </c>
      <c r="L17" s="3">
        <f>(I16/I20 - 1) / (I16/I20 + 1)</f>
        <v>0.92140200536663597</v>
      </c>
      <c r="M17" s="3">
        <f>(I16/I22 - 1) / (I16/I22 + 1)</f>
        <v>0.99584592957015061</v>
      </c>
    </row>
    <row r="18" spans="1:18" x14ac:dyDescent="0.3">
      <c r="A18" t="s">
        <v>79</v>
      </c>
      <c r="B18" s="1">
        <v>0.67800000000000005</v>
      </c>
      <c r="C18" s="1">
        <v>0.61599999999999999</v>
      </c>
      <c r="D18" s="3">
        <f t="shared" si="2"/>
        <v>0.70000000000000095</v>
      </c>
      <c r="E18" s="3">
        <f t="shared" si="2"/>
        <v>0.62790697674418561</v>
      </c>
      <c r="F18" s="3">
        <f t="shared" si="3"/>
        <v>0.66395348837209323</v>
      </c>
      <c r="H18" s="4" cm="1">
        <f t="array" ref="H18">2*SUMPRODUCT((F15:F23-$H$4)^2)</f>
        <v>1.1218179427089827</v>
      </c>
      <c r="I18">
        <f>COUNTA(A15:A23)-1</f>
        <v>8</v>
      </c>
    </row>
    <row r="19" spans="1:18" x14ac:dyDescent="0.3">
      <c r="A19" t="s">
        <v>80</v>
      </c>
      <c r="B19" s="1">
        <v>0.70199999999999996</v>
      </c>
      <c r="C19" s="1">
        <v>0.64800000000000002</v>
      </c>
      <c r="D19" s="3">
        <f t="shared" si="2"/>
        <v>1</v>
      </c>
      <c r="E19" s="3">
        <f t="shared" si="2"/>
        <v>1</v>
      </c>
      <c r="F19" s="3">
        <f t="shared" si="3"/>
        <v>1</v>
      </c>
      <c r="H19" s="4" t="s">
        <v>90</v>
      </c>
      <c r="I19" t="s">
        <v>95</v>
      </c>
    </row>
    <row r="20" spans="1:18" x14ac:dyDescent="0.3">
      <c r="A20" t="s">
        <v>81</v>
      </c>
      <c r="B20" s="1">
        <v>0.68</v>
      </c>
      <c r="C20" s="1">
        <v>0.61799999999999999</v>
      </c>
      <c r="D20" s="3">
        <f t="shared" si="2"/>
        <v>0.72500000000000098</v>
      </c>
      <c r="E20" s="3">
        <f t="shared" si="2"/>
        <v>0.65116279069767402</v>
      </c>
      <c r="F20" s="3">
        <f t="shared" si="3"/>
        <v>0.6880813953488375</v>
      </c>
      <c r="H20" s="4" cm="1">
        <f t="array" ref="H20">SUMPRODUCT((D15:D23-E15:E23)^2)</f>
        <v>2.3290292049757636E-2</v>
      </c>
      <c r="I20">
        <f>_xlfn.F.INV.RT(0.025,I18,I18)</f>
        <v>4.4332598891823745</v>
      </c>
    </row>
    <row r="21" spans="1:18" x14ac:dyDescent="0.3">
      <c r="A21" t="s">
        <v>82</v>
      </c>
      <c r="B21" s="1">
        <v>0.67800000000000005</v>
      </c>
      <c r="C21" s="1">
        <v>0.61599999999999999</v>
      </c>
      <c r="D21" s="3">
        <f t="shared" si="2"/>
        <v>0.70000000000000095</v>
      </c>
      <c r="E21" s="3">
        <f t="shared" si="2"/>
        <v>0.62790697674418561</v>
      </c>
      <c r="F21" s="3">
        <f t="shared" si="3"/>
        <v>0.66395348837209323</v>
      </c>
      <c r="H21" s="4" t="s">
        <v>92</v>
      </c>
      <c r="I21" t="s">
        <v>96</v>
      </c>
    </row>
    <row r="22" spans="1:18" x14ac:dyDescent="0.3">
      <c r="A22" t="s">
        <v>83</v>
      </c>
      <c r="B22" s="1">
        <v>0.67400000000000004</v>
      </c>
      <c r="C22" s="1">
        <v>0.61599999999999999</v>
      </c>
      <c r="D22" s="3">
        <f t="shared" si="2"/>
        <v>0.65000000000000091</v>
      </c>
      <c r="E22" s="3">
        <f t="shared" si="2"/>
        <v>0.62790697674418561</v>
      </c>
      <c r="F22" s="3">
        <f t="shared" si="3"/>
        <v>0.63895348837209331</v>
      </c>
      <c r="H22" s="4">
        <f>H18/(COUNTA(A15:A23)-1)</f>
        <v>0.14022724283862284</v>
      </c>
      <c r="I22">
        <f>_xlfn.F.INV(0.025,I18,I18)</f>
        <v>0.22556764660698242</v>
      </c>
    </row>
    <row r="23" spans="1:18" x14ac:dyDescent="0.3">
      <c r="A23" t="s">
        <v>84</v>
      </c>
      <c r="B23" s="1">
        <v>0.67400000000000004</v>
      </c>
      <c r="C23" s="1">
        <v>0.61599999999999999</v>
      </c>
      <c r="D23" s="3">
        <f t="shared" si="2"/>
        <v>0.65000000000000091</v>
      </c>
      <c r="E23" s="3">
        <f t="shared" si="2"/>
        <v>0.62790697674418561</v>
      </c>
      <c r="F23" s="3">
        <f t="shared" si="3"/>
        <v>0.63895348837209331</v>
      </c>
      <c r="H23" s="4" t="s">
        <v>91</v>
      </c>
    </row>
    <row r="24" spans="1:18" x14ac:dyDescent="0.3">
      <c r="H24" s="4">
        <f>H20/(2*(COUNTA(A15:A23)))</f>
        <v>1.2939051138754242E-3</v>
      </c>
    </row>
    <row r="25" spans="1:18" x14ac:dyDescent="0.3">
      <c r="A25" s="9" t="s">
        <v>108</v>
      </c>
      <c r="B25" s="9"/>
      <c r="C25" s="9"/>
      <c r="D25" s="9"/>
      <c r="E25" s="9"/>
      <c r="F25" s="9"/>
    </row>
    <row r="26" spans="1:18" ht="43.2" x14ac:dyDescent="0.3">
      <c r="A26" s="7" t="s">
        <v>75</v>
      </c>
      <c r="B26" s="7" t="s">
        <v>129</v>
      </c>
      <c r="C26" s="7" t="s">
        <v>130</v>
      </c>
      <c r="D26" s="7" t="s">
        <v>131</v>
      </c>
      <c r="E26" s="7" t="s">
        <v>132</v>
      </c>
      <c r="F26" s="7" t="s">
        <v>85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3">
      <c r="A27" t="s">
        <v>76</v>
      </c>
      <c r="B27" s="1">
        <v>2.3285723246333099</v>
      </c>
      <c r="C27" s="1">
        <v>2.0802993719219098</v>
      </c>
      <c r="D27" s="3">
        <f>(B27-MIN(B$27:B$35))/(MAX(B$27:B$35)-MIN(B$27:B$35))</f>
        <v>1.3098917117964923E-4</v>
      </c>
      <c r="E27" s="3">
        <f>(C27-MIN(C$27:C$35))/(MAX(C$27:C$35)-MIN(C$27:C$35))</f>
        <v>1.7598446977350554E-4</v>
      </c>
      <c r="F27" s="3">
        <f>AVERAGE(D27:E27)</f>
        <v>1.534868204765774E-4</v>
      </c>
      <c r="H27" s="8" t="s">
        <v>88</v>
      </c>
      <c r="I27" t="s">
        <v>94</v>
      </c>
      <c r="K27" s="2" t="s">
        <v>99</v>
      </c>
      <c r="L27" s="2"/>
      <c r="M27" s="2"/>
    </row>
    <row r="28" spans="1:18" x14ac:dyDescent="0.3">
      <c r="A28" t="s">
        <v>77</v>
      </c>
      <c r="B28" s="1">
        <v>2.3285710943710001</v>
      </c>
      <c r="C28" s="1">
        <v>2.0802984277755998</v>
      </c>
      <c r="D28" s="3">
        <f t="shared" ref="D28:E35" si="4">(B28-MIN(B$27:B$35))/(MAX(B$27:B$35)-MIN(B$27:B$35))</f>
        <v>0</v>
      </c>
      <c r="E28" s="3">
        <f t="shared" si="4"/>
        <v>0</v>
      </c>
      <c r="F28" s="3">
        <f t="shared" ref="F28:F35" si="5">AVERAGE(D28:E28)</f>
        <v>0</v>
      </c>
      <c r="H28" s="4">
        <f>AVERAGE(D27:E35)</f>
        <v>0.18017400810398096</v>
      </c>
      <c r="I28">
        <f>H34/H36</f>
        <v>387.63376226803763</v>
      </c>
      <c r="K28" s="4" t="s">
        <v>93</v>
      </c>
      <c r="L28" t="s">
        <v>97</v>
      </c>
      <c r="M28" t="s">
        <v>98</v>
      </c>
    </row>
    <row r="29" spans="1:18" x14ac:dyDescent="0.3">
      <c r="A29" t="s">
        <v>78</v>
      </c>
      <c r="B29" s="1">
        <v>2.3306469071464799</v>
      </c>
      <c r="C29" s="1">
        <v>2.0807061688062598</v>
      </c>
      <c r="D29" s="3">
        <f t="shared" si="4"/>
        <v>0.22101708945925116</v>
      </c>
      <c r="E29" s="3">
        <f t="shared" si="4"/>
        <v>7.6001026878875055E-2</v>
      </c>
      <c r="F29" s="3">
        <f t="shared" si="5"/>
        <v>0.14850905816906312</v>
      </c>
      <c r="H29" s="4" t="s">
        <v>89</v>
      </c>
      <c r="I29" t="s">
        <v>100</v>
      </c>
      <c r="K29" s="3">
        <f>(H34-H36)/(H34+H36)</f>
        <v>0.99485376672287007</v>
      </c>
      <c r="L29" s="3">
        <f>(I28/I32 - 1) / (I28/I32 + 1)</f>
        <v>0.97738519366005427</v>
      </c>
      <c r="M29" s="3">
        <f>(I28/I34 - 1) / (I28/I34 + 1)</f>
        <v>0.99883685847311388</v>
      </c>
    </row>
    <row r="30" spans="1:18" x14ac:dyDescent="0.3">
      <c r="A30" t="s">
        <v>79</v>
      </c>
      <c r="B30" s="1">
        <v>2.3296530693163802</v>
      </c>
      <c r="C30" s="1">
        <v>2.0811964777541001</v>
      </c>
      <c r="D30" s="3">
        <f t="shared" si="4"/>
        <v>0.11520063664723354</v>
      </c>
      <c r="E30" s="3">
        <f t="shared" si="4"/>
        <v>0.16739232851816846</v>
      </c>
      <c r="F30" s="3">
        <f t="shared" si="5"/>
        <v>0.141296482582701</v>
      </c>
      <c r="H30" s="4" cm="1">
        <f t="array" ref="H30">2*SUMPRODUCT((F27:F35-$H$4)^2)</f>
        <v>4.7473184207383907</v>
      </c>
      <c r="I30">
        <f>COUNTA(A27:A35)-1</f>
        <v>8</v>
      </c>
    </row>
    <row r="31" spans="1:18" x14ac:dyDescent="0.3">
      <c r="A31" t="s">
        <v>80</v>
      </c>
      <c r="B31" s="1">
        <v>2.3379631860891501</v>
      </c>
      <c r="C31" s="1">
        <v>2.0856633688481701</v>
      </c>
      <c r="D31" s="3">
        <f t="shared" si="4"/>
        <v>1</v>
      </c>
      <c r="E31" s="3">
        <f t="shared" si="4"/>
        <v>1</v>
      </c>
      <c r="F31" s="3">
        <f t="shared" si="5"/>
        <v>1</v>
      </c>
      <c r="H31" s="4" t="s">
        <v>90</v>
      </c>
      <c r="I31" t="s">
        <v>95</v>
      </c>
    </row>
    <row r="32" spans="1:18" x14ac:dyDescent="0.3">
      <c r="A32" t="s">
        <v>81</v>
      </c>
      <c r="B32" s="1">
        <v>2.3305159348276301</v>
      </c>
      <c r="C32" s="1">
        <v>2.0817089415086301</v>
      </c>
      <c r="D32" s="3">
        <f t="shared" si="4"/>
        <v>0.2070721320652831</v>
      </c>
      <c r="E32" s="3">
        <f t="shared" si="4"/>
        <v>0.26291318281982545</v>
      </c>
      <c r="F32" s="3">
        <f t="shared" si="5"/>
        <v>0.23499265744255426</v>
      </c>
      <c r="H32" s="4" cm="1">
        <f t="array" ref="H32">SUMPRODUCT((D27:D35-E27:E35)^2)</f>
        <v>2.7555562715085309E-2</v>
      </c>
      <c r="I32">
        <f>_xlfn.F.INV.RT(0.025,I30,I30)</f>
        <v>4.4332598891823745</v>
      </c>
    </row>
    <row r="33" spans="1:18" x14ac:dyDescent="0.3">
      <c r="A33" t="s">
        <v>82</v>
      </c>
      <c r="B33" s="1">
        <v>2.3291967630651098</v>
      </c>
      <c r="C33" s="1">
        <v>2.0807919770142198</v>
      </c>
      <c r="D33" s="3">
        <f t="shared" si="4"/>
        <v>6.6616544310427198E-2</v>
      </c>
      <c r="E33" s="3">
        <f t="shared" si="4"/>
        <v>9.1995276731631423E-2</v>
      </c>
      <c r="F33" s="3">
        <f t="shared" si="5"/>
        <v>7.930591052102931E-2</v>
      </c>
      <c r="H33" s="4" t="s">
        <v>92</v>
      </c>
      <c r="I33" t="s">
        <v>96</v>
      </c>
    </row>
    <row r="34" spans="1:18" x14ac:dyDescent="0.3">
      <c r="A34" t="s">
        <v>83</v>
      </c>
      <c r="B34" s="1">
        <v>2.3287026549302299</v>
      </c>
      <c r="C34" s="1">
        <v>2.0804073489139698</v>
      </c>
      <c r="D34" s="3">
        <f t="shared" si="4"/>
        <v>1.4007588850049876E-2</v>
      </c>
      <c r="E34" s="3">
        <f t="shared" si="4"/>
        <v>2.0302392309006236E-2</v>
      </c>
      <c r="F34" s="3">
        <f t="shared" si="5"/>
        <v>1.7154990579528056E-2</v>
      </c>
      <c r="H34" s="4">
        <f>H30/(COUNTA(A27:A35)-1)</f>
        <v>0.59341480259229884</v>
      </c>
      <c r="I34">
        <f>_xlfn.F.INV(0.025,I30,I30)</f>
        <v>0.22556764660698242</v>
      </c>
    </row>
    <row r="35" spans="1:18" x14ac:dyDescent="0.3">
      <c r="A35" t="s">
        <v>84</v>
      </c>
      <c r="B35" s="1">
        <v>2.3285723246333099</v>
      </c>
      <c r="C35" s="1">
        <v>2.0802993719219098</v>
      </c>
      <c r="D35" s="3">
        <f t="shared" si="4"/>
        <v>1.3098917117964923E-4</v>
      </c>
      <c r="E35" s="3">
        <f t="shared" si="4"/>
        <v>1.7598446977350554E-4</v>
      </c>
      <c r="F35" s="3">
        <f t="shared" si="5"/>
        <v>1.534868204765774E-4</v>
      </c>
      <c r="H35" s="4" t="s">
        <v>91</v>
      </c>
    </row>
    <row r="36" spans="1:18" x14ac:dyDescent="0.3">
      <c r="H36" s="4">
        <f>H32/(2*(COUNTA(A27:A35)))</f>
        <v>1.5308645952825171E-3</v>
      </c>
    </row>
    <row r="37" spans="1:18" x14ac:dyDescent="0.3">
      <c r="A37" s="9" t="s">
        <v>108</v>
      </c>
      <c r="B37" s="9"/>
      <c r="C37" s="9"/>
      <c r="D37" s="9"/>
      <c r="E37" s="9"/>
      <c r="F37" s="9"/>
    </row>
    <row r="38" spans="1:18" ht="43.2" x14ac:dyDescent="0.3">
      <c r="A38" s="7" t="s">
        <v>75</v>
      </c>
      <c r="B38" s="7" t="s">
        <v>133</v>
      </c>
      <c r="C38" s="7" t="s">
        <v>134</v>
      </c>
      <c r="D38" s="7" t="s">
        <v>135</v>
      </c>
      <c r="E38" s="7" t="s">
        <v>136</v>
      </c>
      <c r="F38" s="7" t="s">
        <v>85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3">
      <c r="A39" t="s">
        <v>76</v>
      </c>
      <c r="B39" s="1">
        <v>48126.643822035898</v>
      </c>
      <c r="C39" s="1">
        <v>35091.306881238001</v>
      </c>
      <c r="D39" s="3">
        <f>(B39-MIN(B$39:B$47))/(MAX(B$39:B$47)-MIN(B$39:B$47))</f>
        <v>0.62121145704125003</v>
      </c>
      <c r="E39" s="3">
        <f>(C39-MIN(C$39:C$47))/(MAX(C$39:C$47)-MIN(C$39:C$47))</f>
        <v>0.67218170136192756</v>
      </c>
      <c r="F39" s="3">
        <f>AVERAGE(D39:E39)</f>
        <v>0.64669657920158885</v>
      </c>
      <c r="H39" s="8" t="s">
        <v>88</v>
      </c>
      <c r="I39" t="s">
        <v>94</v>
      </c>
      <c r="K39" s="2" t="s">
        <v>99</v>
      </c>
      <c r="L39" s="2"/>
      <c r="M39" s="2"/>
    </row>
    <row r="40" spans="1:18" x14ac:dyDescent="0.3">
      <c r="A40" t="s">
        <v>77</v>
      </c>
      <c r="B40" s="1">
        <v>43313.979439832503</v>
      </c>
      <c r="C40" s="1">
        <v>31582.176193114301</v>
      </c>
      <c r="D40" s="3">
        <f t="shared" ref="D40:E47" si="6">(B40-MIN(B$39:B$47))/(MAX(B$39:B$47)-MIN(B$39:B$47))</f>
        <v>0</v>
      </c>
      <c r="E40" s="3">
        <f t="shared" si="6"/>
        <v>0</v>
      </c>
      <c r="F40" s="3">
        <f t="shared" ref="F40:F47" si="7">AVERAGE(D40:E40)</f>
        <v>0</v>
      </c>
      <c r="H40" s="4">
        <f>AVERAGE(D39:E47)</f>
        <v>0.63072719925963705</v>
      </c>
      <c r="I40">
        <f>H46/H48</f>
        <v>118.15464835700145</v>
      </c>
      <c r="K40" s="4" t="s">
        <v>93</v>
      </c>
      <c r="L40" t="s">
        <v>97</v>
      </c>
      <c r="M40" t="s">
        <v>98</v>
      </c>
    </row>
    <row r="41" spans="1:18" x14ac:dyDescent="0.3">
      <c r="A41" t="s">
        <v>78</v>
      </c>
      <c r="B41" s="1">
        <v>48907.636111074004</v>
      </c>
      <c r="C41" s="1">
        <v>35806.963629160004</v>
      </c>
      <c r="D41" s="3">
        <f t="shared" si="6"/>
        <v>0.72202076333848664</v>
      </c>
      <c r="E41" s="3">
        <f t="shared" si="6"/>
        <v>0.80926732545607316</v>
      </c>
      <c r="F41" s="3">
        <f t="shared" si="7"/>
        <v>0.76564404439727984</v>
      </c>
      <c r="H41" s="4" t="s">
        <v>89</v>
      </c>
      <c r="I41" t="s">
        <v>100</v>
      </c>
      <c r="K41" s="3">
        <f>(H46-H48)/(H46+H48)</f>
        <v>0.98321509040916488</v>
      </c>
      <c r="L41" s="3">
        <f>(I40/I44 - 1) / (I40/I44 + 1)</f>
        <v>0.92767215049824647</v>
      </c>
      <c r="M41" s="3">
        <f>(I40/I46 - 1) / (I40/I46 + 1)</f>
        <v>0.99618909891835128</v>
      </c>
    </row>
    <row r="42" spans="1:18" x14ac:dyDescent="0.3">
      <c r="A42" t="s">
        <v>79</v>
      </c>
      <c r="B42" s="1">
        <v>48208.403661821401</v>
      </c>
      <c r="C42" s="1">
        <v>35104.719941907402</v>
      </c>
      <c r="D42" s="3">
        <f t="shared" si="6"/>
        <v>0.63176489380040313</v>
      </c>
      <c r="E42" s="3">
        <f t="shared" si="6"/>
        <v>0.67475100263410381</v>
      </c>
      <c r="F42" s="3">
        <f t="shared" si="7"/>
        <v>0.65325794821725347</v>
      </c>
      <c r="H42" s="4" cm="1">
        <f t="array" ref="H42">2*SUMPRODUCT((F39:F47-$H$4)^2)</f>
        <v>1.1312378279219166</v>
      </c>
      <c r="I42">
        <f>COUNTA(A39:A47)-1</f>
        <v>8</v>
      </c>
    </row>
    <row r="43" spans="1:18" x14ac:dyDescent="0.3">
      <c r="A43" t="s">
        <v>80</v>
      </c>
      <c r="B43" s="1">
        <v>51061.2035575677</v>
      </c>
      <c r="C43" s="1">
        <v>36802.685292088201</v>
      </c>
      <c r="D43" s="3">
        <f t="shared" si="6"/>
        <v>1</v>
      </c>
      <c r="E43" s="3">
        <f t="shared" si="6"/>
        <v>1</v>
      </c>
      <c r="F43" s="3">
        <f t="shared" si="7"/>
        <v>1</v>
      </c>
      <c r="H43" s="4" t="s">
        <v>90</v>
      </c>
      <c r="I43" t="s">
        <v>95</v>
      </c>
    </row>
    <row r="44" spans="1:18" x14ac:dyDescent="0.3">
      <c r="A44" t="s">
        <v>81</v>
      </c>
      <c r="B44" s="1">
        <v>48291.269082074599</v>
      </c>
      <c r="C44" s="1">
        <v>35145.043957237103</v>
      </c>
      <c r="D44" s="3">
        <f t="shared" si="6"/>
        <v>0.64246103721821124</v>
      </c>
      <c r="E44" s="3">
        <f t="shared" si="6"/>
        <v>0.68247515645994949</v>
      </c>
      <c r="F44" s="3">
        <f t="shared" si="7"/>
        <v>0.66246809683908037</v>
      </c>
      <c r="H44" s="4" cm="1">
        <f t="array" ref="H44">SUMPRODUCT((D39:D47-E39:E47)^2)</f>
        <v>2.1541980347093873E-2</v>
      </c>
      <c r="I44">
        <f>_xlfn.F.INV.RT(0.025,I42,I42)</f>
        <v>4.4332598891823745</v>
      </c>
    </row>
    <row r="45" spans="1:18" x14ac:dyDescent="0.3">
      <c r="A45" t="s">
        <v>82</v>
      </c>
      <c r="B45" s="1">
        <v>48179.715551155103</v>
      </c>
      <c r="C45" s="1">
        <v>35135.006523733602</v>
      </c>
      <c r="D45" s="3">
        <f t="shared" si="6"/>
        <v>0.62806187576060934</v>
      </c>
      <c r="E45" s="3">
        <f t="shared" si="6"/>
        <v>0.68055246399582292</v>
      </c>
      <c r="F45" s="3">
        <f t="shared" si="7"/>
        <v>0.65430716987821613</v>
      </c>
      <c r="H45" s="4" t="s">
        <v>92</v>
      </c>
      <c r="I45" t="s">
        <v>96</v>
      </c>
    </row>
    <row r="46" spans="1:18" x14ac:dyDescent="0.3">
      <c r="A46" t="s">
        <v>83</v>
      </c>
      <c r="B46" s="1">
        <v>48135.273591652804</v>
      </c>
      <c r="C46" s="1">
        <v>35093.6126504235</v>
      </c>
      <c r="D46" s="3">
        <f t="shared" si="6"/>
        <v>0.62232537468268634</v>
      </c>
      <c r="E46" s="3">
        <f t="shared" si="6"/>
        <v>0.67262337652076454</v>
      </c>
      <c r="F46" s="3">
        <f t="shared" si="7"/>
        <v>0.64747437560172538</v>
      </c>
      <c r="H46" s="4">
        <f>H42/(COUNTA(A39:A47)-1)</f>
        <v>0.14140472849023958</v>
      </c>
      <c r="I46">
        <f>_xlfn.F.INV(0.025,I42,I42)</f>
        <v>0.22556764660698242</v>
      </c>
    </row>
    <row r="47" spans="1:18" x14ac:dyDescent="0.3">
      <c r="A47" t="s">
        <v>84</v>
      </c>
      <c r="B47" s="1">
        <v>48126.643822035898</v>
      </c>
      <c r="C47" s="1">
        <v>35091.306881238001</v>
      </c>
      <c r="D47" s="3">
        <f t="shared" si="6"/>
        <v>0.62121145704125003</v>
      </c>
      <c r="E47" s="3">
        <f t="shared" si="6"/>
        <v>0.67218170136192756</v>
      </c>
      <c r="F47" s="3">
        <f t="shared" si="7"/>
        <v>0.64669657920158885</v>
      </c>
      <c r="H47" s="4" t="s">
        <v>91</v>
      </c>
    </row>
    <row r="48" spans="1:18" x14ac:dyDescent="0.3">
      <c r="H48" s="4">
        <f>H44/(2*(COUNTA(A39:A47)))</f>
        <v>1.1967766859496596E-3</v>
      </c>
    </row>
    <row r="49" spans="1:18" x14ac:dyDescent="0.3">
      <c r="A49" s="9" t="s">
        <v>108</v>
      </c>
      <c r="B49" s="9"/>
      <c r="C49" s="9"/>
      <c r="D49" s="9"/>
      <c r="E49" s="9"/>
      <c r="F49" s="9"/>
    </row>
    <row r="50" spans="1:18" ht="43.2" x14ac:dyDescent="0.3">
      <c r="A50" s="7" t="s">
        <v>75</v>
      </c>
      <c r="B50" s="7" t="s">
        <v>137</v>
      </c>
      <c r="C50" s="7" t="s">
        <v>138</v>
      </c>
      <c r="D50" s="7" t="s">
        <v>139</v>
      </c>
      <c r="E50" s="7" t="s">
        <v>140</v>
      </c>
      <c r="F50" s="7" t="s">
        <v>85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3">
      <c r="A51" t="s">
        <v>76</v>
      </c>
      <c r="B51" s="1">
        <v>46441.019447413702</v>
      </c>
      <c r="C51" s="1">
        <v>49285.926880981002</v>
      </c>
      <c r="D51" s="3">
        <f>(B51-MIN(B$51:B$59))/(MAX(B$51:B$59)-MIN(B$51:B$59))</f>
        <v>0.52066533337210197</v>
      </c>
      <c r="E51" s="3">
        <f>(C51-MIN(C$51:C$59))/(MAX(C$51:C$59)-MIN(C$51:C$59))</f>
        <v>0.53085256543421666</v>
      </c>
      <c r="F51" s="3">
        <f>AVERAGE(D51:E51)</f>
        <v>0.52575894940315937</v>
      </c>
      <c r="H51" s="8" t="s">
        <v>88</v>
      </c>
      <c r="I51" t="s">
        <v>94</v>
      </c>
      <c r="K51" s="2" t="s">
        <v>99</v>
      </c>
      <c r="L51" s="2"/>
      <c r="M51" s="2"/>
    </row>
    <row r="52" spans="1:18" x14ac:dyDescent="0.3">
      <c r="A52" t="s">
        <v>77</v>
      </c>
      <c r="B52" s="1">
        <v>0</v>
      </c>
      <c r="C52" s="1">
        <v>0</v>
      </c>
      <c r="D52" s="3">
        <f t="shared" ref="D52:E59" si="8">(B52-MIN(B$51:B$59))/(MAX(B$51:B$59)-MIN(B$51:B$59))</f>
        <v>0</v>
      </c>
      <c r="E52" s="3">
        <f t="shared" si="8"/>
        <v>0</v>
      </c>
      <c r="F52" s="3">
        <f t="shared" ref="F52:F59" si="9">AVERAGE(D52:E52)</f>
        <v>0</v>
      </c>
      <c r="H52" s="4">
        <f>AVERAGE(D51:E59)</f>
        <v>0.52470331100172041</v>
      </c>
      <c r="I52">
        <f>H58/H60</f>
        <v>1669.5774298008334</v>
      </c>
      <c r="K52" s="4" t="s">
        <v>93</v>
      </c>
      <c r="L52" t="s">
        <v>97</v>
      </c>
      <c r="M52" t="s">
        <v>98</v>
      </c>
    </row>
    <row r="53" spans="1:18" x14ac:dyDescent="0.3">
      <c r="A53" t="s">
        <v>78</v>
      </c>
      <c r="B53" s="1">
        <v>48327.792836953398</v>
      </c>
      <c r="C53" s="1">
        <v>52503.069673861297</v>
      </c>
      <c r="D53" s="3">
        <f t="shared" si="8"/>
        <v>0.54181856186603428</v>
      </c>
      <c r="E53" s="3">
        <f t="shared" si="8"/>
        <v>0.56550400881871221</v>
      </c>
      <c r="F53" s="3">
        <f t="shared" si="9"/>
        <v>0.55366128534237324</v>
      </c>
      <c r="H53" s="4" t="s">
        <v>89</v>
      </c>
      <c r="I53" t="s">
        <v>100</v>
      </c>
      <c r="K53" s="3">
        <f>(H58-H60)/(H58+H60)</f>
        <v>0.99880280915788611</v>
      </c>
      <c r="L53" s="3">
        <f>(I52/I56 - 1) / (I52/I56 + 1)</f>
        <v>0.99470342702530379</v>
      </c>
      <c r="M53" s="3">
        <f>(I52/I58 - 1) / (I52/I58 + 1)</f>
        <v>0.99972982723476744</v>
      </c>
    </row>
    <row r="54" spans="1:18" x14ac:dyDescent="0.3">
      <c r="A54" t="s">
        <v>79</v>
      </c>
      <c r="B54" s="1">
        <v>46609.365347828701</v>
      </c>
      <c r="C54" s="1">
        <v>49642.9841834986</v>
      </c>
      <c r="D54" s="3">
        <f t="shared" si="8"/>
        <v>0.52255271386900626</v>
      </c>
      <c r="E54" s="3">
        <f t="shared" si="8"/>
        <v>0.53469838506354439</v>
      </c>
      <c r="F54" s="3">
        <f t="shared" si="9"/>
        <v>0.52862554946627527</v>
      </c>
      <c r="H54" s="4" cm="1">
        <f t="array" ref="H54">2*SUMPRODUCT((F51:F59-$H$4)^2)</f>
        <v>1.0978447167764058</v>
      </c>
      <c r="I54">
        <f>COUNTA(A51:A59)-1</f>
        <v>8</v>
      </c>
    </row>
    <row r="55" spans="1:18" x14ac:dyDescent="0.3">
      <c r="A55" t="s">
        <v>80</v>
      </c>
      <c r="B55" s="1">
        <v>89195.528241984706</v>
      </c>
      <c r="C55" s="1">
        <v>92842.966371777904</v>
      </c>
      <c r="D55" s="3">
        <f t="shared" si="8"/>
        <v>1</v>
      </c>
      <c r="E55" s="3">
        <f t="shared" si="8"/>
        <v>1</v>
      </c>
      <c r="F55" s="3">
        <f t="shared" si="9"/>
        <v>1</v>
      </c>
      <c r="H55" s="4" t="s">
        <v>90</v>
      </c>
      <c r="I55" t="s">
        <v>95</v>
      </c>
    </row>
    <row r="56" spans="1:18" x14ac:dyDescent="0.3">
      <c r="A56" t="s">
        <v>81</v>
      </c>
      <c r="B56" s="1">
        <v>46864.430373154297</v>
      </c>
      <c r="C56" s="1">
        <v>50308.456504378402</v>
      </c>
      <c r="D56" s="3">
        <f t="shared" si="8"/>
        <v>0.5254123306048768</v>
      </c>
      <c r="E56" s="3">
        <f t="shared" si="8"/>
        <v>0.54186610435220861</v>
      </c>
      <c r="F56" s="3">
        <f t="shared" si="9"/>
        <v>0.5336392174785427</v>
      </c>
      <c r="H56" s="4" cm="1">
        <f t="array" ref="H56">SUMPRODUCT((D51:D59-E51:E59)^2)</f>
        <v>1.4795064719110281E-3</v>
      </c>
      <c r="I56">
        <f>_xlfn.F.INV.RT(0.025,I54,I54)</f>
        <v>4.4332598891823745</v>
      </c>
    </row>
    <row r="57" spans="1:18" x14ac:dyDescent="0.3">
      <c r="A57" t="s">
        <v>82</v>
      </c>
      <c r="B57" s="1">
        <v>46559.414636035901</v>
      </c>
      <c r="C57" s="1">
        <v>49719.004141796599</v>
      </c>
      <c r="D57" s="3">
        <f t="shared" si="8"/>
        <v>0.52199270023629041</v>
      </c>
      <c r="E57" s="3">
        <f t="shared" si="8"/>
        <v>0.53551718654381575</v>
      </c>
      <c r="F57" s="3">
        <f t="shared" si="9"/>
        <v>0.52875494339005313</v>
      </c>
      <c r="H57" s="4" t="s">
        <v>92</v>
      </c>
      <c r="I57" t="s">
        <v>96</v>
      </c>
    </row>
    <row r="58" spans="1:18" x14ac:dyDescent="0.3">
      <c r="A58" t="s">
        <v>83</v>
      </c>
      <c r="B58" s="1">
        <v>46461.223331101697</v>
      </c>
      <c r="C58" s="1">
        <v>49333.963642738898</v>
      </c>
      <c r="D58" s="3">
        <f t="shared" si="8"/>
        <v>0.52089184566578084</v>
      </c>
      <c r="E58" s="3">
        <f t="shared" si="8"/>
        <v>0.53136996339805953</v>
      </c>
      <c r="F58" s="3">
        <f t="shared" si="9"/>
        <v>0.52613090453192024</v>
      </c>
      <c r="H58" s="4">
        <f>H54/(COUNTA(A51:A59)-1)</f>
        <v>0.13723058959705073</v>
      </c>
      <c r="I58">
        <f>_xlfn.F.INV(0.025,I54,I54)</f>
        <v>0.22556764660698242</v>
      </c>
    </row>
    <row r="59" spans="1:18" x14ac:dyDescent="0.3">
      <c r="A59" t="s">
        <v>84</v>
      </c>
      <c r="B59" s="1">
        <v>46441.019447413702</v>
      </c>
      <c r="C59" s="1">
        <v>49285.926880981002</v>
      </c>
      <c r="D59" s="3">
        <f t="shared" si="8"/>
        <v>0.52066533337210197</v>
      </c>
      <c r="E59" s="3">
        <f t="shared" si="8"/>
        <v>0.53085256543421666</v>
      </c>
      <c r="F59" s="3">
        <f t="shared" si="9"/>
        <v>0.52575894940315937</v>
      </c>
      <c r="H59" s="4" t="s">
        <v>91</v>
      </c>
    </row>
    <row r="60" spans="1:18" x14ac:dyDescent="0.3">
      <c r="H60" s="4">
        <f>H56/(2*(COUNTA(A51:A59)))</f>
        <v>8.2194803995057114E-5</v>
      </c>
    </row>
  </sheetData>
  <mergeCells count="5">
    <mergeCell ref="A1:F1"/>
    <mergeCell ref="A13:F13"/>
    <mergeCell ref="A25:F25"/>
    <mergeCell ref="A37:F37"/>
    <mergeCell ref="A49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Spearman-microplastics</vt:lpstr>
      <vt:lpstr>Spearman-secondary</vt:lpstr>
      <vt:lpstr>Robust-microplastics</vt:lpstr>
      <vt:lpstr>Robust-secondary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Weijenberg</dc:creator>
  <cp:lastModifiedBy>Norbert Weijenberg</cp:lastModifiedBy>
  <dcterms:created xsi:type="dcterms:W3CDTF">2026-05-06T12:05:43Z</dcterms:created>
  <dcterms:modified xsi:type="dcterms:W3CDTF">2026-05-07T10:09:35Z</dcterms:modified>
</cp:coreProperties>
</file>